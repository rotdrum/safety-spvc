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99f78c2c6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b806aef8ccb9457b"/>
    <x:sheet xmlns:r="http://schemas.openxmlformats.org/officeDocument/2006/relationships" name="Settings" sheetId="2" r:id="R21154fc2f21f4632"/>
    <x:sheet xmlns:r="http://schemas.openxmlformats.org/officeDocument/2006/relationships" name="Students" sheetId="3" r:id="Rbf31c05f563148cd"/>
    <x:sheet xmlns:r="http://schemas.openxmlformats.org/officeDocument/2006/relationships" name="Late_Transactions" sheetId="4" r:id="R6612958bf76e4111"/>
    <x:sheet xmlns:r="http://schemas.openxmlformats.org/officeDocument/2006/relationships" name="Student_Summary" sheetId="5" r:id="R3ee4742845e44263"/>
    <x:sheet xmlns:r="http://schemas.openxmlformats.org/officeDocument/2006/relationships" name="Daily_Summary" sheetId="6" r:id="Rd558667cfe6d4deb"/>
    <x:sheet xmlns:r="http://schemas.openxmlformats.org/officeDocument/2006/relationships" name="Dashboard" sheetId="7" r:id="Rf356910e8ceb4550"/>
    <x:sheet xmlns:r="http://schemas.openxmlformats.org/officeDocument/2006/relationships" name="Looker_Config" sheetId="8" r:id="R9947f64ea5be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033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10"/>
      <x:color rgb="FF172033"/>
      <x:name val="Carlito"/>
    </x:font>
    <x:font>
      <x:b/>
      <x:sz val="20"/>
      <x:color rgb="FF2F6F9F"/>
      <x:name val="Carlito"/>
    </x:font>
    <x:font>
      <x:b/>
      <x:sz val="12"/>
      <x:color rgb="FF1F3A5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AF3F8"/>
      </x:patternFill>
    </x:fill>
    <x:fill>
      <x:patternFill patternType="solid">
        <x:fgColor rgb="FF2F6F9F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202" fontId="4" fillId="5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202" fontId="4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202" fontId="3" fillId="4" borderId="2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2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202" fontId="3" fillId="4" borderId="1" xfId="0" applyNumberFormat="1" applyFont="1" applyFill="1" applyBorder="1" applyAlignment="1">
      <x:alignment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 applyAlignment="1">
      <x:alignment vertical="center"/>
    </x:xf>
    <x:xf numFmtId="202" fontId="7" fillId="3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b86fc2c724775" /><Relationship Type="http://schemas.openxmlformats.org/officeDocument/2006/relationships/theme" Target="/xl/theme/theme1.xml" Id="R8905177fc2d74a9f" /><Relationship Type="http://schemas.openxmlformats.org/officeDocument/2006/relationships/sharedStrings" Target="/xl/sharedStrings.xml" Id="R890bf641c45e4139" /><Relationship Type="http://schemas.openxmlformats.org/officeDocument/2006/relationships/worksheet" Target="/xl/worksheets/sheet1.xml" Id="Rb806aef8ccb9457b" /><Relationship Type="http://schemas.openxmlformats.org/officeDocument/2006/relationships/worksheet" Target="/xl/worksheets/sheet2.xml" Id="R21154fc2f21f4632" /><Relationship Type="http://schemas.openxmlformats.org/officeDocument/2006/relationships/worksheet" Target="/xl/worksheets/sheet3.xml" Id="Rbf31c05f563148cd" /><Relationship Type="http://schemas.openxmlformats.org/officeDocument/2006/relationships/worksheet" Target="/xl/worksheets/sheet4.xml" Id="R6612958bf76e4111" /><Relationship Type="http://schemas.openxmlformats.org/officeDocument/2006/relationships/worksheet" Target="/xl/worksheets/sheet5.xml" Id="R3ee4742845e44263" /><Relationship Type="http://schemas.openxmlformats.org/officeDocument/2006/relationships/worksheet" Target="/xl/worksheets/sheet6.xml" Id="Rd558667cfe6d4deb" /><Relationship Type="http://schemas.openxmlformats.org/officeDocument/2006/relationships/worksheet" Target="/xl/worksheets/sheet7.xml" Id="Rf356910e8ceb4550" /><Relationship Type="http://schemas.openxmlformats.org/officeDocument/2006/relationships/worksheet" Target="/xl/worksheets/sheet8.xml" Id="R9947f64ea5be47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f9cf9cae0d42a6" /><Relationship Type="http://schemas.openxmlformats.org/officeDocument/2006/relationships/chart" Target="/xl/drawings/charts/chart2.xml" Id="Rc979a53b22d24e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แนวโน้มมาสาย 14 วันล่าสุด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จำนวน</c:v>
          </c:tx>
          <c:cat>
            <c:strRef>
              <c:f>'Dashboard'!$A$9:$A$22</c:f>
              <c:strCache>
                <c:ptCount val="0"/>
              </c:strCache>
            </c:strRef>
          </c:cat>
          <c:val>
            <c:numRef>
              <c:f>'Dashboard'!$B$9:$B$22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จำนวนมาสายแยกตามห้อง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</c:v>
          </c:tx>
          <c:cat>
            <c:strRef>
              <c:f>'Dashboard'!$D$9:$D$28</c:f>
              <c:strCache>
                <c:ptCount val="0"/>
              </c:strCache>
            </c:strRef>
          </c:cat>
          <c:val>
            <c:numRef>
              <c:f>'Dashboard'!$E$9:$E$28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7</xdr:row>
      <xdr:rowOff>0</xdr:rowOff>
    </xdr:from>
    <xdr:ext cx="5334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f9cf9cae0d42a6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5334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79a53b22d24e49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StudentsTable" displayName="StudentsTable" ref="A1:L1001" headerRowCount="1">
  <x:tableColumns count="12">
    <x:tableColumn id="1" name="student_id"/>
    <x:tableColumn id="2" name="student_no"/>
    <x:tableColumn id="3" name="prefix"/>
    <x:tableColumn id="4" name="first_name"/>
    <x:tableColumn id="5" name="last_name"/>
    <x:tableColumn id="6" name="full_name"/>
    <x:tableColumn id="7" name="grade"/>
    <x:tableColumn id="8" name="room"/>
    <x:tableColumn id="9" name="homeroom_teacher"/>
    <x:tableColumn id="10" name="status"/>
    <x:tableColumn id="11" name="card_cod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ateTransactionsTable" displayName="LateTransactionsTable" ref="A1:O2001" headerRowCount="1">
  <x:tableColumns count="15">
    <x:tableColumn id="1" name="transaction_id"/>
    <x:tableColumn id="2" name="submitted_at"/>
    <x:tableColumn id="3" name="late_date"/>
    <x:tableColumn id="4" name="time_in"/>
    <x:tableColumn id="5" name="student_id"/>
    <x:tableColumn id="6" name="full_name"/>
    <x:tableColumn id="7" name="grade"/>
    <x:tableColumn id="8" name="room"/>
    <x:tableColumn id="9" name="reason"/>
    <x:tableColumn id="10" name="recorder"/>
    <x:tableColumn id="11" name="status"/>
    <x:tableColumn id="12" name="duplicate_key"/>
    <x:tableColumn id="13" name="source_sheet"/>
    <x:tableColumn id="14" name="raw_row"/>
    <x:tableColumn id="1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tudentSummaryTable" displayName="StudentSummaryTable" ref="A1:G1001" headerRowCount="1">
  <x:tableColumns count="7">
    <x:tableColumn id="1" name="student_id"/>
    <x:tableColumn id="2" name="full_name"/>
    <x:tableColumn id="3" name="grade"/>
    <x:tableColumn id="4" name="room"/>
    <x:tableColumn id="5" name="late_count"/>
    <x:tableColumn id="6" name="last_late_date"/>
    <x:tableColumn id="7" name="risk"/>
  </x:tableColumns>
  <x:tableStyleInfo name="TableStyleMedium2" showRowStripes="1"/>
</x:table>
</file>

<file path=xl/tables/table4.xml><?xml version="1.0" encoding="utf-8"?>
<x:table xmlns:x="http://schemas.openxmlformats.org/spreadsheetml/2006/main" id="4" name="DailySummaryTable" displayName="DailySummaryTable" ref="A1:E61" headerRowCount="1">
  <x:tableColumns count="5">
    <x:tableColumn id="1" name="date"/>
    <x:tableColumn id="2" name="recorded_late"/>
    <x:tableColumn id="3" name="duplicate"/>
    <x:tableColumn id="4" name="student_not_found"/>
    <x:tableColumn id="5" name="total_submiss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6cc5438f0f244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93b65cfb9d348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8f5f824c1a94e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5c20ce89ff642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dababbc67f34147" /></Relationships>
</file>

<file path=xl/worksheets/sheet1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71.11000061035156" hidden="0" customWidth="1"/>
    <x:col min="3" max="3" width="3.3299999237060547" hidden="0" customWidth="1"/>
    <x:col min="4" max="4" width="3.3299999237060547" hidden="0" customWidth="1"/>
    <x:col min="5" max="5" width="3.3299999237060547" hidden="0" customWidth="1"/>
    <x:col min="6" max="6" width="3.3299999237060547" hidden="0" customWidth="1"/>
    <x:col min="7" max="7" width="3.3299999237060547" hidden="0" customWidth="1"/>
    <x:col min="8" max="8" width="3.3299999237060547" hidden="0" customWidth="1"/>
  </x:cols>
  <x:sheetData>
    <x:row r="1" ht="34" customHeight="1">
      <x:c r="A1" s="4" t="str">
        <x:v>ระบบบันทึกนักเรียนมาสาย</x:v>
      </x:c>
      <x:c r="B1" s="4" t="str">
        <x:v>ระบบบันทึกนักเรียนมาสาย</x:v>
      </x:c>
      <x:c r="C1" s="4" t="str">
        <x:v>ระบบบันทึกนักเรียนมาสาย</x:v>
      </x:c>
      <x:c r="D1" s="4" t="str">
        <x:v>ระบบบันทึกนักเรียนมาสาย</x:v>
      </x:c>
      <x:c r="E1" s="4" t="str">
        <x:v>ระบบบันทึกนักเรียนมาสาย</x:v>
      </x:c>
      <x:c r="F1" s="4" t="str">
        <x:v>ระบบบันทึกนักเรียนมาสาย</x:v>
      </x:c>
      <x:c r="G1" s="4" t="str">
        <x:v>ระบบบันทึกนักเรียนมาสาย</x:v>
      </x:c>
      <x:c r="H1" s="4" t="str">
        <x:v>ระบบบันทึกนักเรียนมาสาย</x:v>
      </x:c>
    </x:row>
    <x:row r="2">
      <x:c r="A2" s="7" t="str">
        <x:v>ใช้ Google Form รับข้อมูลรายวัน แล้วให้ Apps Script เติมข้อมูลนักเรียนลง transaction อัตโนมัติ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ขั้นตอนติดตั้ง</x:v>
      </x:c>
      <x:c r="B4" s="13" t="str">
        <x:v>รายละเอียด</x:v>
      </x:c>
      <x:c r="C4" s="13"/>
      <x:c r="D4" s="13"/>
      <x:c r="E4" s="13"/>
      <x:c r="F4" s="13"/>
      <x:c r="G4" s="13"/>
      <x:c r="H4" s="13"/>
    </x:row>
    <x:row r="5">
      <x:c r="A5" s="18" t="str">
        <x:v>1</x:v>
      </x:c>
      <x:c r="B5" s="19" t="str">
        <x:v>นำไฟล์นี้ไป import เป็น Google Sheets</x:v>
      </x:c>
      <x:c r="C5" s="17"/>
      <x:c r="D5" s="17"/>
      <x:c r="E5" s="17"/>
      <x:c r="F5" s="17"/>
      <x:c r="G5" s="17"/>
      <x:c r="H5" s="17"/>
    </x:row>
    <x:row r="6">
      <x:c r="A6" s="18" t="str">
        <x:v>2</x:v>
      </x:c>
      <x:c r="B6" s="19" t="str">
        <x:v>ใส่ฐานข้อมูลนักเรียนจริงในชีต Students โดยคงชื่อหัวคอลัมน์เดิม</x:v>
      </x:c>
      <x:c r="C6" s="17"/>
      <x:c r="D6" s="17"/>
      <x:c r="E6" s="17"/>
      <x:c r="F6" s="17"/>
      <x:c r="G6" s="17"/>
      <x:c r="H6" s="17"/>
    </x:row>
    <x:row r="7">
      <x:c r="A7" s="18" t="str">
        <x:v>3</x:v>
      </x:c>
      <x:c r="B7" s="19" t="str">
        <x:v>เปิด Extensions &gt; Apps Script แล้ววางโค้ดจากไฟล์ apps-script/late-check-system.gs</x:v>
      </x:c>
      <x:c r="C7" s="17"/>
      <x:c r="D7" s="17"/>
      <x:c r="E7" s="17"/>
      <x:c r="F7" s="17"/>
      <x:c r="G7" s="17"/>
      <x:c r="H7" s="17"/>
    </x:row>
    <x:row r="8">
      <x:c r="A8" s="18" t="str">
        <x:v>4</x:v>
      </x:c>
      <x:c r="B8" s="19" t="str">
        <x:v>รัน setupLateSystem() หนึ่งครั้งเพื่อสร้าง trigger และตรวจหัวตาราง</x:v>
      </x:c>
      <x:c r="C8" s="17"/>
      <x:c r="D8" s="17"/>
      <x:c r="E8" s="17"/>
      <x:c r="F8" s="17"/>
      <x:c r="G8" s="17"/>
      <x:c r="H8" s="17"/>
    </x:row>
    <x:row r="9">
      <x:c r="A9" s="18" t="str">
        <x:v>5</x:v>
      </x:c>
      <x:c r="B9" s="19" t="str">
        <x:v>สร้าง/ผูก Google Form ให้กรอกรหัสนักเรียน และให้เลือกเหตุผล/ผู้บันทึกจาก Settings</x:v>
      </x:c>
      <x:c r="C9" s="17"/>
      <x:c r="D9" s="17"/>
      <x:c r="E9" s="17"/>
      <x:c r="F9" s="17"/>
      <x:c r="G9" s="17"/>
      <x:c r="H9" s="17"/>
    </x:row>
    <x:row r="10">
      <x:c r="A10" s="18" t="str">
        <x:v>6</x:v>
      </x:c>
      <x:c r="B10" s="19" t="str">
        <x:v>ข้อมูลที่ส่งจาก Form จะเข้า Late_Transactions แบบ enriched อัตโนมัติ</x:v>
      </x:c>
      <x:c r="C10" s="17"/>
      <x:c r="D10" s="17"/>
      <x:c r="E10" s="17"/>
      <x:c r="F10" s="17"/>
      <x:c r="G10" s="17"/>
      <x:c r="H10" s="17"/>
    </x:row>
    <x:row r="11">
      <x:c r="A11" s="18" t="str">
        <x:v>7</x:v>
      </x:c>
      <x:c r="B11" s="19" t="str">
        <x:v>Dashboard และ Summary จะอัปเดตตาม transaction ที่เพิ่มขึ้นเรื่อย ๆ</x:v>
      </x:c>
      <x:c r="C11" s="17"/>
      <x:c r="D11" s="17"/>
      <x:c r="E11" s="17"/>
      <x:c r="F11" s="17"/>
      <x:c r="G11" s="17"/>
      <x:c r="H11" s="17"/>
    </x:row>
    <x:row r="12">
      <x:c r="A12" s="18" t="str">
        <x:v>8</x:v>
      </x:c>
      <x:c r="B12" s="19" t="str">
        <x:v>เชื่อม Looker Studio กับชีต Late_Transactions และกรอง status = Recorded</x:v>
      </x:c>
      <x:c r="C12" s="17"/>
      <x:c r="D12" s="17"/>
      <x:c r="E12" s="17"/>
      <x:c r="F12" s="17"/>
      <x:c r="G12" s="17"/>
      <x:c r="H12" s="17"/>
    </x:row>
    <x:row r="13">
      <x:c r="A13" s="18" t="str">
        <x:v>หมายเหตุ</x:v>
      </x:c>
      <x:c r="B13" s="19" t="str">
        <x:v>แถวตัวอย่างใน Late_Transactions ลบได้หลังทดสอบระบบ</x:v>
      </x:c>
      <x:c r="C13" s="17"/>
      <x:c r="D13" s="17"/>
      <x:c r="E13" s="17"/>
      <x:c r="F13" s="17"/>
      <x:c r="G13" s="17"/>
      <x:c r="H13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20" hidden="0" customWidth="1"/>
    <x:col min="3" max="3" width="20" hidden="0" customWidth="1"/>
  </x:cols>
  <x:sheetData>
    <x:row r="1" ht="34" customHeight="1">
      <x:c r="A1" s="4" t="str">
        <x:v>Settings</x:v>
      </x:c>
      <x:c r="B1" s="4" t="str">
        <x:v>Settings</x:v>
      </x:c>
      <x:c r="C1" s="4" t="str">
        <x:v>Settings</x:v>
      </x:c>
      <x:c r="D1" s="4" t="str">
        <x:v>Settings</x:v>
      </x:c>
      <x:c r="E1" s="4" t="str">
        <x:v>Settings</x:v>
      </x:c>
      <x:c r="F1" s="4" t="str">
        <x:v>Settings</x:v>
      </x:c>
      <x:c r="G1" s="4" t="str">
        <x:v>Settings</x:v>
      </x:c>
      <x:c r="H1" s="4" t="str">
        <x:v>Settings</x:v>
      </x:c>
    </x:row>
    <x:row r="2">
      <x:c r="A2" s="7" t="str">
        <x:v>แก้รายการห้อง/เหตุผล/ครูได้จากชีตนี้ Dashboard และ Google Form จะดึงรายการไปใช้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Rooms</x:v>
      </x:c>
      <x:c r="B4" s="13" t="str">
        <x:v>Reasons</x:v>
      </x:c>
      <x:c r="C4" s="13" t="str">
        <x:v>Teachers</x:v>
      </x:c>
    </x:row>
    <x:row r="5">
      <x:c r="A5" s="17" t="str">
        <x:v>ม.1/1</x:v>
      </x:c>
      <x:c r="B5" s="17" t="str">
        <x:v>ตื่นสาย</x:v>
      </x:c>
      <x:c r="C5" s="17" t="str">
        <x:v>นางสาวปัทมพร แสงศรี</x:v>
      </x:c>
    </x:row>
    <x:row r="6">
      <x:c r="A6" s="17" t="str">
        <x:v>ม.1/2</x:v>
      </x:c>
      <x:c r="B6" s="17" t="str">
        <x:v>รถติด</x:v>
      </x:c>
      <x:c r="C6" s="17" t="str">
        <x:v>นางสาวทิพย์รัตน์ อาจนะชัย</x:v>
      </x:c>
    </x:row>
    <x:row r="7">
      <x:c r="A7" s="17" t="str">
        <x:v>ม.2/1</x:v>
      </x:c>
      <x:c r="B7" s="17" t="str">
        <x:v>ฝนตก</x:v>
      </x:c>
      <x:c r="C7" s="17" t="str">
        <x:v>นายคมสัน เกตุโต</x:v>
      </x:c>
    </x:row>
    <x:row r="8">
      <x:c r="A8" s="17" t="str">
        <x:v>ม.2/2</x:v>
      </x:c>
      <x:c r="B8" s="17" t="str">
        <x:v>ป่วย/ไม่สบาย</x:v>
      </x:c>
      <x:c r="C8" s="17" t="str">
        <x:v>นางสาวประภัสสร ชูวัฒนา</x:v>
      </x:c>
    </x:row>
    <x:row r="9">
      <x:c r="A9" s="17" t="str">
        <x:v>ม.3/1</x:v>
      </x:c>
      <x:c r="B9" s="17" t="str">
        <x:v>ภารกิจครอบครัว</x:v>
      </x:c>
      <x:c r="C9" s="17" t="str">
        <x:v>นางสาวดวงพร เวียงนนท์</x:v>
      </x:c>
    </x:row>
    <x:row r="10">
      <x:c r="A10" s="17" t="str">
        <x:v>ม.3/2</x:v>
      </x:c>
      <x:c r="B10" s="17" t="str">
        <x:v>อื่น ๆ</x:v>
      </x:c>
      <x:c r="C10" s="17" t="str">
        <x:v>นายอานันท์ชัย มณีโชติ</x:v>
      </x:c>
    </x:row>
    <x:row r="11">
      <x:c r="A11" s="17" t="str">
        <x:v>ม.4/1</x:v>
      </x:c>
      <x:c r="B11" s="17" t="str"/>
      <x:c r="C11" s="17" t="str">
        <x:v>นายเอกลักษณ์ พุ่มโต</x:v>
      </x:c>
    </x:row>
    <x:row r="12">
      <x:c r="A12" s="17" t="str">
        <x:v>ม.4/2</x:v>
      </x:c>
      <x:c r="B12" s="17" t="str"/>
      <x:c r="C12" s="17" t="str">
        <x:v>นางสาวณันดา นาคอ่วม</x:v>
      </x:c>
    </x:row>
    <x:row r="13">
      <x:c r="A13" s="17" t="str">
        <x:v>ม.5/1</x:v>
      </x:c>
      <x:c r="B13" s="17" t="str"/>
      <x:c r="C13" s="17" t="str">
        <x:v>นางสาวกนกวรรณ เติมเพ็ชร</x:v>
      </x:c>
    </x:row>
    <x:row r="14">
      <x:c r="A14" s="17" t="str">
        <x:v>ม.5/2</x:v>
      </x:c>
      <x:c r="B14" s="17" t="str"/>
      <x:c r="C14" s="17" t="str"/>
    </x:row>
    <x:row r="15">
      <x:c r="A15" s="17" t="str">
        <x:v>ม.6/1</x:v>
      </x:c>
      <x:c r="B15" s="17" t="str"/>
      <x:c r="C15" s="17" t="str"/>
    </x:row>
    <x:row r="16">
      <x:c r="A16" s="17" t="str">
        <x:v>ม.6/2</x:v>
      </x:c>
      <x:c r="B16" s="17" t="str"/>
      <x:c r="C16" s="17" t="str"/>
    </x:row>
    <x:row r="17">
      <x:c r="A17" s="17" t="str"/>
      <x:c r="B17" s="17" t="str"/>
      <x:c r="C17" s="17" t="str"/>
    </x:row>
    <x:row r="18">
      <x:c r="A18" s="17" t="str"/>
      <x:c r="B18" s="17" t="str"/>
      <x:c r="C18" s="17" t="str"/>
    </x:row>
    <x:row r="19">
      <x:c r="A19" s="17" t="str"/>
      <x:c r="B19" s="17" t="str"/>
      <x:c r="C19" s="17" t="str"/>
    </x:row>
    <x:row r="20">
      <x:c r="A20" s="17" t="str"/>
      <x:c r="B20" s="17" t="str"/>
      <x:c r="C20" s="17" t="str"/>
    </x:row>
    <x:row r="21">
      <x:c r="A21" s="17" t="str"/>
      <x:c r="B21" s="17" t="str"/>
      <x:c r="C21" s="17" t="str"/>
    </x:row>
    <x:row r="22">
      <x:c r="A22" s="17" t="str"/>
      <x:c r="B22" s="17" t="str"/>
      <x:c r="C22" s="17" t="str"/>
    </x:row>
    <x:row r="23">
      <x:c r="A23" s="17" t="str"/>
      <x:c r="B23" s="17" t="str"/>
      <x:c r="C23" s="17" t="str"/>
    </x:row>
    <x:row r="24">
      <x:c r="A24" s="17" t="str"/>
      <x:c r="B24" s="17" t="str"/>
      <x:c r="C24" s="1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9.4399995803833" hidden="0" customWidth="1"/>
    <x:col min="3" max="3" width="8.890000343322754" hidden="0" customWidth="1"/>
    <x:col min="4" max="4" width="13.329999923706055" hidden="0" customWidth="1"/>
    <x:col min="5" max="5" width="15.5600004196167" hidden="0" customWidth="1"/>
    <x:col min="6" max="6" width="23.329999923706055" hidden="0" customWidth="1"/>
    <x:col min="7" max="7" width="8.890000343322754" hidden="0" customWidth="1"/>
    <x:col min="8" max="8" width="10" hidden="0" customWidth="1"/>
    <x:col min="9" max="9" width="16.670000076293945" hidden="0" customWidth="1"/>
    <x:col min="10" max="10" width="12.220000267028809" hidden="0" customWidth="1"/>
    <x:col min="11" max="11" width="14.4399995803833" hidden="0" customWidth="1"/>
    <x:col min="12" max="12" width="20" hidden="0" customWidth="1"/>
  </x:cols>
  <x:sheetData>
    <x:row r="1">
      <x:c r="A1" s="13" t="str">
        <x:v>student_id</x:v>
      </x:c>
      <x:c r="B1" s="13" t="str">
        <x:v>student_no</x:v>
      </x:c>
      <x:c r="C1" s="13" t="str">
        <x:v>prefix</x:v>
      </x:c>
      <x:c r="D1" s="13" t="str">
        <x:v>first_name</x:v>
      </x:c>
      <x:c r="E1" s="13" t="str">
        <x:v>last_name</x:v>
      </x:c>
      <x:c r="F1" s="13" t="str">
        <x:v>full_name</x:v>
      </x:c>
      <x:c r="G1" s="13" t="str">
        <x:v>grade</x:v>
      </x:c>
      <x:c r="H1" s="13" t="str">
        <x:v>room</x:v>
      </x:c>
      <x:c r="I1" s="13" t="str">
        <x:v>homeroom_teacher</x:v>
      </x:c>
      <x:c r="J1" s="13" t="str">
        <x:v>status</x:v>
      </x:c>
      <x:c r="K1" s="13" t="str">
        <x:v>card_code</x:v>
      </x:c>
      <x:c r="L1" s="13" t="str">
        <x:v>notes</x:v>
      </x:c>
    </x:row>
    <x:row r="2">
      <x:c r="A2" s="17" t="str">
        <x:v>66001</x:v>
      </x:c>
      <x:c r="B2" s="17" t="str">
        <x:v>1</x:v>
      </x:c>
      <x:c r="C2" s="17" t="str">
        <x:v>ด.ช.</x:v>
      </x:c>
      <x:c r="D2" s="17" t="str">
        <x:v>กิตติ</x:v>
      </x:c>
      <x:c r="E2" s="17" t="str">
        <x:v>ใจดี</x:v>
      </x:c>
      <x:c r="F2" s="17" t="str">
        <x:v>ด.ช.กิตติ ใจดี</x:v>
      </x:c>
      <x:c r="G2" s="17" t="str">
        <x:v>ม.1</x:v>
      </x:c>
      <x:c r="H2" s="17" t="str">
        <x:v>ม.1/1</x:v>
      </x:c>
      <x:c r="I2" s="17" t="str">
        <x:v>ครูอร</x:v>
      </x:c>
      <x:c r="J2" s="17" t="str">
        <x:v>Active</x:v>
      </x:c>
      <x:c r="K2" s="17" t="str">
        <x:v>CARD66001</x:v>
      </x:c>
      <x:c r="L2" s="17" t="str"/>
    </x:row>
    <x:row r="3">
      <x:c r="A3" s="17" t="str">
        <x:v>66002</x:v>
      </x:c>
      <x:c r="B3" s="17" t="str">
        <x:v>2</x:v>
      </x:c>
      <x:c r="C3" s="17" t="str">
        <x:v>ด.ญ.</x:v>
      </x:c>
      <x:c r="D3" s="17" t="str">
        <x:v>ปวีณา</x:v>
      </x:c>
      <x:c r="E3" s="17" t="str">
        <x:v>สุขใจ</x:v>
      </x:c>
      <x:c r="F3" s="17" t="str">
        <x:v>ด.ญ.ปวีณา สุขใจ</x:v>
      </x:c>
      <x:c r="G3" s="17" t="str">
        <x:v>ม.1</x:v>
      </x:c>
      <x:c r="H3" s="17" t="str">
        <x:v>ม.1/1</x:v>
      </x:c>
      <x:c r="I3" s="17" t="str">
        <x:v>ครูอร</x:v>
      </x:c>
      <x:c r="J3" s="17" t="str">
        <x:v>Active</x:v>
      </x:c>
      <x:c r="K3" s="17" t="str">
        <x:v>CARD66002</x:v>
      </x:c>
      <x:c r="L3" s="17" t="str"/>
    </x:row>
    <x:row r="4">
      <x:c r="A4" s="17" t="str">
        <x:v>66003</x:v>
      </x:c>
      <x:c r="B4" s="17" t="str">
        <x:v>3</x:v>
      </x:c>
      <x:c r="C4" s="17" t="str">
        <x:v>ด.ช.</x:v>
      </x:c>
      <x:c r="D4" s="17" t="str">
        <x:v>ธนกร</x:v>
      </x:c>
      <x:c r="E4" s="17" t="str">
        <x:v>ตั้งใจ</x:v>
      </x:c>
      <x:c r="F4" s="17" t="str">
        <x:v>ด.ช.ธนกร ตั้งใจ</x:v>
      </x:c>
      <x:c r="G4" s="17" t="str">
        <x:v>ม.1</x:v>
      </x:c>
      <x:c r="H4" s="17" t="str">
        <x:v>ม.1/2</x:v>
      </x:c>
      <x:c r="I4" s="17" t="str">
        <x:v>ครูพิม</x:v>
      </x:c>
      <x:c r="J4" s="17" t="str">
        <x:v>Active</x:v>
      </x:c>
      <x:c r="K4" s="17" t="str">
        <x:v>CARD66003</x:v>
      </x:c>
      <x:c r="L4" s="17" t="str"/>
    </x:row>
    <x:row r="5">
      <x:c r="A5" s="17" t="str">
        <x:v>66004</x:v>
      </x:c>
      <x:c r="B5" s="17" t="str">
        <x:v>4</x:v>
      </x:c>
      <x:c r="C5" s="17" t="str">
        <x:v>ด.ญ.</x:v>
      </x:c>
      <x:c r="D5" s="17" t="str">
        <x:v>วรัญญา</x:v>
      </x:c>
      <x:c r="E5" s="17" t="str">
        <x:v>แสงดี</x:v>
      </x:c>
      <x:c r="F5" s="17" t="str">
        <x:v>ด.ญ.วรัญญา แสงดี</x:v>
      </x:c>
      <x:c r="G5" s="17" t="str">
        <x:v>ม.1</x:v>
      </x:c>
      <x:c r="H5" s="17" t="str">
        <x:v>ม.1/2</x:v>
      </x:c>
      <x:c r="I5" s="17" t="str">
        <x:v>ครูพิม</x:v>
      </x:c>
      <x:c r="J5" s="17" t="str">
        <x:v>Active</x:v>
      </x:c>
      <x:c r="K5" s="17" t="str">
        <x:v>CARD66004</x:v>
      </x:c>
      <x:c r="L5" s="17" t="str"/>
    </x:row>
    <x:row r="6">
      <x:c r="A6" s="17" t="str">
        <x:v>65001</x:v>
      </x:c>
      <x:c r="B6" s="17" t="str">
        <x:v>1</x:v>
      </x:c>
      <x:c r="C6" s="17" t="str">
        <x:v>ด.ช.</x:v>
      </x:c>
      <x:c r="D6" s="17" t="str">
        <x:v>ภาคิน</x:v>
      </x:c>
      <x:c r="E6" s="17" t="str">
        <x:v>มั่นคง</x:v>
      </x:c>
      <x:c r="F6" s="17" t="str">
        <x:v>ด.ช.ภาคิน มั่นคง</x:v>
      </x:c>
      <x:c r="G6" s="17" t="str">
        <x:v>ม.2</x:v>
      </x:c>
      <x:c r="H6" s="17" t="str">
        <x:v>ม.2/1</x:v>
      </x:c>
      <x:c r="I6" s="17" t="str">
        <x:v>ครูเมย์</x:v>
      </x:c>
      <x:c r="J6" s="17" t="str">
        <x:v>Active</x:v>
      </x:c>
      <x:c r="K6" s="17" t="str">
        <x:v>CARD65001</x:v>
      </x:c>
      <x:c r="L6" s="17" t="str"/>
    </x:row>
    <x:row r="7">
      <x:c r="A7" s="17" t="str">
        <x:v>65002</x:v>
      </x:c>
      <x:c r="B7" s="17" t="str">
        <x:v>2</x:v>
      </x:c>
      <x:c r="C7" s="17" t="str">
        <x:v>ด.ญ.</x:v>
      </x:c>
      <x:c r="D7" s="17" t="str">
        <x:v>นันท์นภัส</x:v>
      </x:c>
      <x:c r="E7" s="17" t="str">
        <x:v>เรียนดี</x:v>
      </x:c>
      <x:c r="F7" s="17" t="str">
        <x:v>ด.ญ.นันท์นภัส เรียนดี</x:v>
      </x:c>
      <x:c r="G7" s="17" t="str">
        <x:v>ม.2</x:v>
      </x:c>
      <x:c r="H7" s="17" t="str">
        <x:v>ม.2/1</x:v>
      </x:c>
      <x:c r="I7" s="17" t="str">
        <x:v>ครูเมย์</x:v>
      </x:c>
      <x:c r="J7" s="17" t="str">
        <x:v>Active</x:v>
      </x:c>
      <x:c r="K7" s="17" t="str">
        <x:v>CARD65002</x:v>
      </x:c>
      <x:c r="L7" s="17" t="str"/>
    </x:row>
    <x:row r="8">
      <x:c r="A8" s="17" t="str">
        <x:v>65003</x:v>
      </x:c>
      <x:c r="B8" s="17" t="str">
        <x:v>3</x:v>
      </x:c>
      <x:c r="C8" s="17" t="str">
        <x:v>ด.ช.</x:v>
      </x:c>
      <x:c r="D8" s="17" t="str">
        <x:v>ชยพล</x:v>
      </x:c>
      <x:c r="E8" s="17" t="str">
        <x:v>เพียรดี</x:v>
      </x:c>
      <x:c r="F8" s="17" t="str">
        <x:v>ด.ช.ชยพล เพียรดี</x:v>
      </x:c>
      <x:c r="G8" s="17" t="str">
        <x:v>ม.2</x:v>
      </x:c>
      <x:c r="H8" s="17" t="str">
        <x:v>ม.2/2</x:v>
      </x:c>
      <x:c r="I8" s="17" t="str">
        <x:v>ครูบอย</x:v>
      </x:c>
      <x:c r="J8" s="17" t="str">
        <x:v>Active</x:v>
      </x:c>
      <x:c r="K8" s="17" t="str">
        <x:v>CARD65003</x:v>
      </x:c>
      <x:c r="L8" s="17" t="str"/>
    </x:row>
    <x:row r="9">
      <x:c r="A9" s="17" t="str">
        <x:v>65004</x:v>
      </x:c>
      <x:c r="B9" s="17" t="str">
        <x:v>4</x:v>
      </x:c>
      <x:c r="C9" s="17" t="str">
        <x:v>ด.ญ.</x:v>
      </x:c>
      <x:c r="D9" s="17" t="str">
        <x:v>สุชาดา</x:v>
      </x:c>
      <x:c r="E9" s="17" t="str">
        <x:v>สว่าง</x:v>
      </x:c>
      <x:c r="F9" s="17" t="str">
        <x:v>ด.ญ.สุชาดา สว่าง</x:v>
      </x:c>
      <x:c r="G9" s="17" t="str">
        <x:v>ม.2</x:v>
      </x:c>
      <x:c r="H9" s="17" t="str">
        <x:v>ม.2/2</x:v>
      </x:c>
      <x:c r="I9" s="17" t="str">
        <x:v>ครูบอย</x:v>
      </x:c>
      <x:c r="J9" s="17" t="str">
        <x:v>Active</x:v>
      </x:c>
      <x:c r="K9" s="17" t="str">
        <x:v>CARD65004</x:v>
      </x:c>
      <x:c r="L9" s="17" t="str"/>
    </x:row>
    <x:row r="10">
      <x:c r="A10" s="17" t="str">
        <x:v>64001</x:v>
      </x:c>
      <x:c r="B10" s="17" t="str">
        <x:v>1</x:v>
      </x:c>
      <x:c r="C10" s="17" t="str">
        <x:v>นาย</x:v>
      </x:c>
      <x:c r="D10" s="17" t="str">
        <x:v>ปรเมศวร์</x:v>
      </x:c>
      <x:c r="E10" s="17" t="str">
        <x:v>ตั้งตรง</x:v>
      </x:c>
      <x:c r="F10" s="17" t="str">
        <x:v>นายปรเมศวร์ ตั้งตรง</x:v>
      </x:c>
      <x:c r="G10" s="17" t="str">
        <x:v>ม.3</x:v>
      </x:c>
      <x:c r="H10" s="17" t="str">
        <x:v>ม.3/1</x:v>
      </x:c>
      <x:c r="I10" s="17" t="str">
        <x:v>ครูฝน</x:v>
      </x:c>
      <x:c r="J10" s="17" t="str">
        <x:v>Active</x:v>
      </x:c>
      <x:c r="K10" s="17" t="str">
        <x:v>CARD64001</x:v>
      </x:c>
      <x:c r="L10" s="17" t="str"/>
    </x:row>
    <x:row r="11">
      <x:c r="A11" s="17" t="str">
        <x:v>64002</x:v>
      </x:c>
      <x:c r="B11" s="17" t="str">
        <x:v>2</x:v>
      </x:c>
      <x:c r="C11" s="17" t="str">
        <x:v>น.ส.</x:v>
      </x:c>
      <x:c r="D11" s="17" t="str">
        <x:v>รินรดา</x:v>
      </x:c>
      <x:c r="E11" s="17" t="str">
        <x:v>อ่อนโยน</x:v>
      </x:c>
      <x:c r="F11" s="17" t="str">
        <x:v>น.ส.รินรดา อ่อนโยน</x:v>
      </x:c>
      <x:c r="G11" s="17" t="str">
        <x:v>ม.3</x:v>
      </x:c>
      <x:c r="H11" s="17" t="str">
        <x:v>ม.3/1</x:v>
      </x:c>
      <x:c r="I11" s="17" t="str">
        <x:v>ครูฝน</x:v>
      </x:c>
      <x:c r="J11" s="17" t="str">
        <x:v>Active</x:v>
      </x:c>
      <x:c r="K11" s="17" t="str">
        <x:v>CARD64002</x:v>
      </x:c>
      <x:c r="L11" s="17" t="str"/>
    </x:row>
    <x:row r="12">
      <x:c r="A12" s="17" t="str">
        <x:v>64003</x:v>
      </x:c>
      <x:c r="B12" s="17" t="str">
        <x:v>3</x:v>
      </x:c>
      <x:c r="C12" s="17" t="str">
        <x:v>นาย</x:v>
      </x:c>
      <x:c r="D12" s="17" t="str">
        <x:v>ณัฐวุฒิ</x:v>
      </x:c>
      <x:c r="E12" s="17" t="str">
        <x:v>สดใส</x:v>
      </x:c>
      <x:c r="F12" s="17" t="str">
        <x:v>นายณัฐวุฒิ สดใส</x:v>
      </x:c>
      <x:c r="G12" s="17" t="str">
        <x:v>ม.3</x:v>
      </x:c>
      <x:c r="H12" s="17" t="str">
        <x:v>ม.3/2</x:v>
      </x:c>
      <x:c r="I12" s="17" t="str">
        <x:v>ครูตาล</x:v>
      </x:c>
      <x:c r="J12" s="17" t="str">
        <x:v>Active</x:v>
      </x:c>
      <x:c r="K12" s="17" t="str">
        <x:v>CARD64003</x:v>
      </x:c>
      <x:c r="L12" s="17" t="str"/>
    </x:row>
    <x:row r="13">
      <x:c r="A13" s="17" t="str">
        <x:v>64004</x:v>
      </x:c>
      <x:c r="B13" s="17" t="str">
        <x:v>4</x:v>
      </x:c>
      <x:c r="C13" s="17" t="str">
        <x:v>น.ส.</x:v>
      </x:c>
      <x:c r="D13" s="17" t="str">
        <x:v>พิชชาภา</x:v>
      </x:c>
      <x:c r="E13" s="17" t="str">
        <x:v>ใฝ่รู้</x:v>
      </x:c>
      <x:c r="F13" s="17" t="str">
        <x:v>น.ส.พิชชาภา ใฝ่รู้</x:v>
      </x:c>
      <x:c r="G13" s="17" t="str">
        <x:v>ม.3</x:v>
      </x:c>
      <x:c r="H13" s="17" t="str">
        <x:v>ม.3/2</x:v>
      </x:c>
      <x:c r="I13" s="17" t="str">
        <x:v>ครูตาล</x:v>
      </x:c>
      <x:c r="J13" s="17" t="str">
        <x:v>Active</x:v>
      </x:c>
      <x:c r="K13" s="17" t="str">
        <x:v>CARD64004</x:v>
      </x:c>
      <x:c r="L13" s="17" t="str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</x:row>
    <x:row r="1001">
      <x:c r="A1001" s="17"/>
      <x:c r="B1001" s="17"/>
      <x:c r="C1001" s="17"/>
      <x:c r="D1001" s="17"/>
      <x:c r="E1001" s="17"/>
      <x:c r="F1001" s="17"/>
      <x:c r="G1001" s="17"/>
      <x:c r="H1001" s="17"/>
      <x:c r="I1001" s="17"/>
      <x:c r="J1001" s="17"/>
      <x:c r="K1001" s="17"/>
      <x:c r="L1001" s="17"/>
    </x:row>
  </x:sheetData>
  <x:dataValidations count="1">
    <x:dataValidation type="list" allowBlank="1" showDropDown="0" sqref="J2:J1001">
      <x:formula1>"Active,Transferred,Inactive"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cc5438f0f244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6.670000076293945" hidden="0" customWidth="1"/>
    <x:col min="3" max="3" width="12.220000267028809" hidden="0" customWidth="1"/>
    <x:col min="4" max="4" width="8.890000343322754" hidden="0" customWidth="1"/>
    <x:col min="5" max="5" width="12.220000267028809" hidden="0" customWidth="1"/>
    <x:col min="6" max="6" width="23.329999923706055" hidden="0" customWidth="1"/>
    <x:col min="7" max="7" width="8.890000343322754" hidden="0" customWidth="1"/>
    <x:col min="8" max="8" width="10" hidden="0" customWidth="1"/>
    <x:col min="9" max="9" width="16.670000076293945" hidden="0" customWidth="1"/>
    <x:col min="10" max="10" width="14.4399995803833" hidden="0" customWidth="1"/>
    <x:col min="11" max="11" width="14.4399995803833" hidden="0" customWidth="1"/>
    <x:col min="12" max="12" width="17.780000686645508" hidden="0" customWidth="1"/>
    <x:col min="13" max="13" width="12.220000267028809" hidden="0" customWidth="1"/>
    <x:col min="14" max="14" width="8.890000343322754" hidden="0" customWidth="1"/>
    <x:col min="15" max="15" width="20" hidden="0" customWidth="1"/>
  </x:cols>
  <x:sheetData>
    <x:row r="1">
      <x:c r="A1" s="13" t="str">
        <x:v>transaction_id</x:v>
      </x:c>
      <x:c r="B1" s="13" t="str">
        <x:v>submitted_at</x:v>
      </x:c>
      <x:c r="C1" s="13" t="str">
        <x:v>late_date</x:v>
      </x:c>
      <x:c r="D1" s="13" t="str">
        <x:v>time_in</x:v>
      </x:c>
      <x:c r="E1" s="13" t="str">
        <x:v>student_id</x:v>
      </x:c>
      <x:c r="F1" s="13" t="str">
        <x:v>full_name</x:v>
      </x:c>
      <x:c r="G1" s="13" t="str">
        <x:v>grade</x:v>
      </x:c>
      <x:c r="H1" s="13" t="str">
        <x:v>room</x:v>
      </x:c>
      <x:c r="I1" s="13" t="str">
        <x:v>reason</x:v>
      </x:c>
      <x:c r="J1" s="13" t="str">
        <x:v>recorder</x:v>
      </x:c>
      <x:c r="K1" s="13" t="str">
        <x:v>status</x:v>
      </x:c>
      <x:c r="L1" s="13" t="str">
        <x:v>duplicate_key</x:v>
      </x:c>
      <x:c r="M1" s="13" t="str">
        <x:v>source_sheet</x:v>
      </x:c>
      <x:c r="N1" s="13" t="str">
        <x:v>raw_row</x:v>
      </x:c>
      <x:c r="O1" s="13" t="str">
        <x:v>notes</x:v>
      </x:c>
    </x:row>
    <x:row r="2">
      <x:c r="A2" s="17" t="str">
        <x:v>TX-001</x:v>
      </x:c>
      <x:c r="B2" s="20" t="n">
        <x:v>46162.03680555556</x:v>
      </x:c>
      <x:c r="C2" s="21" t="n">
        <x:v>46162</x:v>
      </x:c>
      <x:c r="D2" s="17" t="str">
        <x:v>07:53</x:v>
      </x:c>
      <x:c r="E2" s="17" t="str">
        <x:v>66001</x:v>
      </x:c>
      <x:c r="F2" s="17" t="str">
        <x:v>ด.ช.กิตติ ใจดี</x:v>
      </x:c>
      <x:c r="G2" s="17" t="str">
        <x:v>ม.1</x:v>
      </x:c>
      <x:c r="H2" s="17" t="str">
        <x:v>ม.1/1</x:v>
      </x:c>
      <x:c r="I2" s="17" t="str">
        <x:v>รถติด</x:v>
      </x:c>
      <x:c r="J2" s="17" t="str">
        <x:v>ครูเวรเช้า</x:v>
      </x:c>
      <x:c r="K2" s="17" t="str">
        <x:v>Recorded</x:v>
      </x:c>
      <x:c r="L2" s="17" t="str">
        <x:v>2026-05-20|66001</x:v>
      </x:c>
      <x:c r="M2" s="17" t="str">
        <x:v>Sample</x:v>
      </x:c>
      <x:c r="N2" s="22" t="n">
        <x:v>2</x:v>
      </x:c>
      <x:c r="O2" s="17" t="str">
        <x:v>ตัวอย่าง ลบได้</x:v>
      </x:c>
    </x:row>
    <x:row r="3">
      <x:c r="A3" s="17" t="str">
        <x:v>TX-002</x:v>
      </x:c>
      <x:c r="B3" s="20" t="n">
        <x:v>46162.044444444444</x:v>
      </x:c>
      <x:c r="C3" s="21" t="n">
        <x:v>46162</x:v>
      </x:c>
      <x:c r="D3" s="17" t="str">
        <x:v>08:04</x:v>
      </x:c>
      <x:c r="E3" s="17" t="str">
        <x:v>65001</x:v>
      </x:c>
      <x:c r="F3" s="17" t="str">
        <x:v>ด.ช.ภาคิน มั่นคง</x:v>
      </x:c>
      <x:c r="G3" s="17" t="str">
        <x:v>ม.2</x:v>
      </x:c>
      <x:c r="H3" s="17" t="str">
        <x:v>ม.2/1</x:v>
      </x:c>
      <x:c r="I3" s="17" t="str">
        <x:v>ตื่นสาย</x:v>
      </x:c>
      <x:c r="J3" s="17" t="str">
        <x:v>ครูเวรเช้า</x:v>
      </x:c>
      <x:c r="K3" s="17" t="str">
        <x:v>Recorded</x:v>
      </x:c>
      <x:c r="L3" s="17" t="str">
        <x:v>2026-05-20|65001</x:v>
      </x:c>
      <x:c r="M3" s="17" t="str">
        <x:v>Sample</x:v>
      </x:c>
      <x:c r="N3" s="22" t="n">
        <x:v>3</x:v>
      </x:c>
      <x:c r="O3" s="17" t="str">
        <x:v>ตัวอย่าง ลบได้</x:v>
      </x:c>
    </x:row>
    <x:row r="4">
      <x:c r="A4" s="17" t="str">
        <x:v>TX-003</x:v>
      </x:c>
      <x:c r="B4" s="20" t="n">
        <x:v>46163.04027777778</x:v>
      </x:c>
      <x:c r="C4" s="21" t="n">
        <x:v>46163</x:v>
      </x:c>
      <x:c r="D4" s="17" t="str">
        <x:v>07:58</x:v>
      </x:c>
      <x:c r="E4" s="17" t="str">
        <x:v>66002</x:v>
      </x:c>
      <x:c r="F4" s="17" t="str">
        <x:v>ด.ญ.ปวีณา สุขใจ</x:v>
      </x:c>
      <x:c r="G4" s="17" t="str">
        <x:v>ม.1</x:v>
      </x:c>
      <x:c r="H4" s="17" t="str">
        <x:v>ม.1/1</x:v>
      </x:c>
      <x:c r="I4" s="17" t="str">
        <x:v>ฝนตก</x:v>
      </x:c>
      <x:c r="J4" s="17" t="str">
        <x:v>ครูเวรเช้า</x:v>
      </x:c>
      <x:c r="K4" s="17" t="str">
        <x:v>Recorded</x:v>
      </x:c>
      <x:c r="L4" s="17" t="str">
        <x:v>2026-05-21|66002</x:v>
      </x:c>
      <x:c r="M4" s="17" t="str">
        <x:v>Sample</x:v>
      </x:c>
      <x:c r="N4" s="22" t="n">
        <x:v>4</x:v>
      </x:c>
      <x:c r="O4" s="17" t="str">
        <x:v>ตัวอย่าง ลบได้</x:v>
      </x:c>
    </x:row>
    <x:row r="5">
      <x:c r="A5" s="17" t="str">
        <x:v>TX-004</x:v>
      </x:c>
      <x:c r="B5" s="20" t="n">
        <x:v>46163.04583333333</x:v>
      </x:c>
      <x:c r="C5" s="21" t="n">
        <x:v>46163</x:v>
      </x:c>
      <x:c r="D5" s="17" t="str">
        <x:v>08:06</x:v>
      </x:c>
      <x:c r="E5" s="17" t="str">
        <x:v>65003</x:v>
      </x:c>
      <x:c r="F5" s="17" t="str">
        <x:v>ด.ช.ชยพล เพียรดี</x:v>
      </x:c>
      <x:c r="G5" s="17" t="str">
        <x:v>ม.2</x:v>
      </x:c>
      <x:c r="H5" s="17" t="str">
        <x:v>ม.2/2</x:v>
      </x:c>
      <x:c r="I5" s="17" t="str">
        <x:v>รถติด</x:v>
      </x:c>
      <x:c r="J5" s="17" t="str">
        <x:v>ครูเวรเช้า</x:v>
      </x:c>
      <x:c r="K5" s="17" t="str">
        <x:v>Recorded</x:v>
      </x:c>
      <x:c r="L5" s="17" t="str">
        <x:v>2026-05-21|65003</x:v>
      </x:c>
      <x:c r="M5" s="17" t="str">
        <x:v>Sample</x:v>
      </x:c>
      <x:c r="N5" s="22" t="n">
        <x:v>5</x:v>
      </x:c>
      <x:c r="O5" s="17" t="str">
        <x:v>ตัวอย่าง ลบได้</x:v>
      </x:c>
    </x:row>
    <x:row r="6">
      <x:c r="A6" s="17" t="str">
        <x:v>TX-005</x:v>
      </x:c>
      <x:c r="B6" s="20" t="n">
        <x:v>46164.035416666666</x:v>
      </x:c>
      <x:c r="C6" s="21" t="n">
        <x:v>46164</x:v>
      </x:c>
      <x:c r="D6" s="17" t="str">
        <x:v>07:51</x:v>
      </x:c>
      <x:c r="E6" s="17" t="str">
        <x:v>64001</x:v>
      </x:c>
      <x:c r="F6" s="17" t="str">
        <x:v>นายปรเมศวร์ ตั้งตรง</x:v>
      </x:c>
      <x:c r="G6" s="17" t="str">
        <x:v>ม.3</x:v>
      </x:c>
      <x:c r="H6" s="17" t="str">
        <x:v>ม.3/1</x:v>
      </x:c>
      <x:c r="I6" s="17" t="str">
        <x:v>ภารกิจครอบครัว</x:v>
      </x:c>
      <x:c r="J6" s="17" t="str">
        <x:v>ครูเวรเช้า</x:v>
      </x:c>
      <x:c r="K6" s="17" t="str">
        <x:v>Recorded</x:v>
      </x:c>
      <x:c r="L6" s="17" t="str">
        <x:v>2026-05-22|64001</x:v>
      </x:c>
      <x:c r="M6" s="17" t="str">
        <x:v>Sample</x:v>
      </x:c>
      <x:c r="N6" s="22" t="n">
        <x:v>6</x:v>
      </x:c>
      <x:c r="O6" s="17" t="str">
        <x:v>ตัวอย่าง ลบได้</x:v>
      </x:c>
    </x:row>
    <x:row r="7">
      <x:c r="A7" s="17" t="str">
        <x:v>TX-006</x:v>
      </x:c>
      <x:c r="B7" s="20" t="n">
        <x:v>46164.04305555556</x:v>
      </x:c>
      <x:c r="C7" s="21" t="n">
        <x:v>46164</x:v>
      </x:c>
      <x:c r="D7" s="17" t="str">
        <x:v>08:02</x:v>
      </x:c>
      <x:c r="E7" s="17" t="str">
        <x:v>66001</x:v>
      </x:c>
      <x:c r="F7" s="17" t="str">
        <x:v>ด.ช.กิตติ ใจดี</x:v>
      </x:c>
      <x:c r="G7" s="17" t="str">
        <x:v>ม.1</x:v>
      </x:c>
      <x:c r="H7" s="17" t="str">
        <x:v>ม.1/1</x:v>
      </x:c>
      <x:c r="I7" s="17" t="str">
        <x:v>รถติด</x:v>
      </x:c>
      <x:c r="J7" s="17" t="str">
        <x:v>ครูเวรเช้า</x:v>
      </x:c>
      <x:c r="K7" s="17" t="str">
        <x:v>Recorded</x:v>
      </x:c>
      <x:c r="L7" s="17" t="str">
        <x:v>2026-05-22|66001</x:v>
      </x:c>
      <x:c r="M7" s="17" t="str">
        <x:v>Sample</x:v>
      </x:c>
      <x:c r="N7" s="22" t="n">
        <x:v>7</x:v>
      </x:c>
      <x:c r="O7" s="17" t="str">
        <x:v>ตัวอย่าง ลบได้</x:v>
      </x:c>
    </x:row>
    <x:row r="8">
      <x:c r="A8" s="17" t="str">
        <x:v>TX-007</x:v>
      </x:c>
      <x:c r="B8" s="20" t="n">
        <x:v>46165.040972222225</x:v>
      </x:c>
      <x:c r="C8" s="21" t="n">
        <x:v>46165</x:v>
      </x:c>
      <x:c r="D8" s="17" t="str">
        <x:v>07:59</x:v>
      </x:c>
      <x:c r="E8" s="17" t="str">
        <x:v>64003</x:v>
      </x:c>
      <x:c r="F8" s="17" t="str">
        <x:v>นายณัฐวุฒิ สดใส</x:v>
      </x:c>
      <x:c r="G8" s="17" t="str">
        <x:v>ม.3</x:v>
      </x:c>
      <x:c r="H8" s="17" t="str">
        <x:v>ม.3/2</x:v>
      </x:c>
      <x:c r="I8" s="17" t="str">
        <x:v>ตื่นสาย</x:v>
      </x:c>
      <x:c r="J8" s="17" t="str">
        <x:v>ครูเวรเช้า</x:v>
      </x:c>
      <x:c r="K8" s="17" t="str">
        <x:v>Recorded</x:v>
      </x:c>
      <x:c r="L8" s="17" t="str">
        <x:v>2026-05-23|64003</x:v>
      </x:c>
      <x:c r="M8" s="17" t="str">
        <x:v>Sample</x:v>
      </x:c>
      <x:c r="N8" s="22" t="n">
        <x:v>8</x:v>
      </x:c>
      <x:c r="O8" s="17" t="str">
        <x:v>ตัวอย่าง ลบได้</x:v>
      </x:c>
    </x:row>
    <x:row r="9">
      <x:c r="A9" s="17" t="str">
        <x:v>TX-008</x:v>
      </x:c>
      <x:c r="B9" s="20" t="n">
        <x:v>46165.04652777778</x:v>
      </x:c>
      <x:c r="C9" s="21" t="n">
        <x:v>46165</x:v>
      </x:c>
      <x:c r="D9" s="17" t="str">
        <x:v>08:07</x:v>
      </x:c>
      <x:c r="E9" s="17" t="str">
        <x:v>65002</x:v>
      </x:c>
      <x:c r="F9" s="17" t="str">
        <x:v>ด.ญ.นันท์นภัส เรียนดี</x:v>
      </x:c>
      <x:c r="G9" s="17" t="str">
        <x:v>ม.2</x:v>
      </x:c>
      <x:c r="H9" s="17" t="str">
        <x:v>ม.2/1</x:v>
      </x:c>
      <x:c r="I9" s="17" t="str">
        <x:v>อื่น ๆ</x:v>
      </x:c>
      <x:c r="J9" s="17" t="str">
        <x:v>ครูเวรเช้า</x:v>
      </x:c>
      <x:c r="K9" s="17" t="str">
        <x:v>Recorded</x:v>
      </x:c>
      <x:c r="L9" s="17" t="str">
        <x:v>2026-05-23|65002</x:v>
      </x:c>
      <x:c r="M9" s="17" t="str">
        <x:v>Sample</x:v>
      </x:c>
      <x:c r="N9" s="22" t="n">
        <x:v>9</x:v>
      </x:c>
      <x:c r="O9" s="17" t="str">
        <x:v>ตัวอย่าง ลบได้</x:v>
      </x:c>
    </x:row>
    <x:row r="10">
      <x:c r="A10" s="17" t="str">
        <x:v>TX-009</x:v>
      </x:c>
      <x:c r="B10" s="20" t="n">
        <x:v>46166.03888888889</x:v>
      </x:c>
      <x:c r="C10" s="21" t="n">
        <x:v>46166</x:v>
      </x:c>
      <x:c r="D10" s="17" t="str">
        <x:v>07:56</x:v>
      </x:c>
      <x:c r="E10" s="17" t="str">
        <x:v>66001</x:v>
      </x:c>
      <x:c r="F10" s="17" t="str">
        <x:v>ด.ช.กิตติ ใจดี</x:v>
      </x:c>
      <x:c r="G10" s="17" t="str">
        <x:v>ม.1</x:v>
      </x:c>
      <x:c r="H10" s="17" t="str">
        <x:v>ม.1/1</x:v>
      </x:c>
      <x:c r="I10" s="17" t="str">
        <x:v>รถติด</x:v>
      </x:c>
      <x:c r="J10" s="17" t="str">
        <x:v>ครูเวรเช้า</x:v>
      </x:c>
      <x:c r="K10" s="17" t="str">
        <x:v>Recorded</x:v>
      </x:c>
      <x:c r="L10" s="17" t="str">
        <x:v>2026-05-24|66001</x:v>
      </x:c>
      <x:c r="M10" s="17" t="str">
        <x:v>Sample</x:v>
      </x:c>
      <x:c r="N10" s="22" t="n">
        <x:v>10</x:v>
      </x:c>
      <x:c r="O10" s="17" t="str">
        <x:v>ตัวอย่าง ลบได้</x:v>
      </x:c>
    </x:row>
    <x:row r="11">
      <x:c r="A11" s="17" t="str">
        <x:v>TX-010</x:v>
      </x:c>
      <x:c r="B11" s="20" t="n">
        <x:v>46166.04236111111</x:v>
      </x:c>
      <x:c r="C11" s="21" t="n">
        <x:v>46166</x:v>
      </x:c>
      <x:c r="D11" s="17" t="str">
        <x:v>08:01</x:v>
      </x:c>
      <x:c r="E11" s="17" t="str">
        <x:v>99999</x:v>
      </x:c>
      <x:c r="F11" s="17" t="str"/>
      <x:c r="G11" s="17" t="str"/>
      <x:c r="H11" s="17" t="str"/>
      <x:c r="I11" s="17" t="str">
        <x:v>อื่น ๆ</x:v>
      </x:c>
      <x:c r="J11" s="17" t="str">
        <x:v>ครูเวรเช้า</x:v>
      </x:c>
      <x:c r="K11" s="17" t="str">
        <x:v>Student not found</x:v>
      </x:c>
      <x:c r="L11" s="17" t="str">
        <x:v>2026-05-24|99999</x:v>
      </x:c>
      <x:c r="M11" s="17" t="str">
        <x:v>Sample</x:v>
      </x:c>
      <x:c r="N11" s="22" t="n">
        <x:v>11</x:v>
      </x:c>
      <x:c r="O11" s="17" t="str">
        <x:v>ตัวอย่าง student_id ไม่พบ</x:v>
      </x:c>
    </x:row>
    <x:row r="12">
      <x:c r="A12" s="17" t="str">
        <x:v>TX-011</x:v>
      </x:c>
      <x:c r="B12" s="20" t="n">
        <x:v>46167.04375</x:v>
      </x:c>
      <x:c r="C12" s="21" t="n">
        <x:v>46167</x:v>
      </x:c>
      <x:c r="D12" s="17" t="str">
        <x:v>08:03</x:v>
      </x:c>
      <x:c r="E12" s="17" t="str">
        <x:v>66001</x:v>
      </x:c>
      <x:c r="F12" s="17" t="str">
        <x:v>ด.ช.กิตติ ใจดี</x:v>
      </x:c>
      <x:c r="G12" s="17" t="str">
        <x:v>ม.1</x:v>
      </x:c>
      <x:c r="H12" s="17" t="str">
        <x:v>ม.1/1</x:v>
      </x:c>
      <x:c r="I12" s="17" t="str">
        <x:v>รถติด</x:v>
      </x:c>
      <x:c r="J12" s="17" t="str">
        <x:v>ครูเวรเช้า</x:v>
      </x:c>
      <x:c r="K12" s="17" t="str">
        <x:v>Recorded</x:v>
      </x:c>
      <x:c r="L12" s="17" t="str">
        <x:v>2026-05-25|66001</x:v>
      </x:c>
      <x:c r="M12" s="17" t="str">
        <x:v>Sample</x:v>
      </x:c>
      <x:c r="N12" s="22" t="n">
        <x:v>12</x:v>
      </x:c>
      <x:c r="O12" s="17" t="str">
        <x:v>ตัวอย่าง ลบได้</x:v>
      </x:c>
    </x:row>
    <x:row r="13">
      <x:c r="A13" s="17" t="str">
        <x:v>TX-012</x:v>
      </x:c>
      <x:c r="B13" s="20" t="n">
        <x:v>46167.04513888889</x:v>
      </x:c>
      <x:c r="C13" s="21" t="n">
        <x:v>46167</x:v>
      </x:c>
      <x:c r="D13" s="17" t="str">
        <x:v>08:05</x:v>
      </x:c>
      <x:c r="E13" s="17" t="str">
        <x:v>66001</x:v>
      </x:c>
      <x:c r="F13" s="17" t="str">
        <x:v>ด.ช.กิตติ ใจดี</x:v>
      </x:c>
      <x:c r="G13" s="17" t="str">
        <x:v>ม.1</x:v>
      </x:c>
      <x:c r="H13" s="17" t="str">
        <x:v>ม.1/1</x:v>
      </x:c>
      <x:c r="I13" s="17" t="str">
        <x:v>รถติด</x:v>
      </x:c>
      <x:c r="J13" s="17" t="str">
        <x:v>ครูเวรเช้า</x:v>
      </x:c>
      <x:c r="K13" s="17" t="str">
        <x:v>Duplicate</x:v>
      </x:c>
      <x:c r="L13" s="17" t="str">
        <x:v>2026-05-25|66001</x:v>
      </x:c>
      <x:c r="M13" s="17" t="str">
        <x:v>Sample</x:v>
      </x:c>
      <x:c r="N13" s="22" t="n">
        <x:v>13</x:v>
      </x:c>
      <x:c r="O13" s="17" t="str">
        <x:v>ตัวอย่างซ้ำ ไม่นับใน Dashboard</x:v>
      </x:c>
    </x:row>
    <x:row r="14">
      <x:c r="A14" s="17"/>
      <x:c r="B14" s="20"/>
      <x:c r="C14" s="21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22"/>
      <x:c r="O14" s="17"/>
    </x:row>
    <x:row r="15">
      <x:c r="A15" s="17"/>
      <x:c r="B15" s="20"/>
      <x:c r="C15" s="21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22"/>
      <x:c r="O15" s="17"/>
    </x:row>
    <x:row r="16">
      <x:c r="A16" s="17"/>
      <x:c r="B16" s="20"/>
      <x:c r="C16" s="21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22"/>
      <x:c r="O16" s="17"/>
    </x:row>
    <x:row r="17">
      <x:c r="A17" s="17"/>
      <x:c r="B17" s="20"/>
      <x:c r="C17" s="21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22"/>
      <x:c r="O17" s="17"/>
    </x:row>
    <x:row r="18">
      <x:c r="A18" s="17"/>
      <x:c r="B18" s="20"/>
      <x:c r="C18" s="21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22"/>
      <x:c r="O18" s="17"/>
    </x:row>
    <x:row r="19">
      <x:c r="A19" s="17"/>
      <x:c r="B19" s="20"/>
      <x:c r="C19" s="21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22"/>
      <x:c r="O19" s="17"/>
    </x:row>
    <x:row r="20">
      <x:c r="A20" s="17"/>
      <x:c r="B20" s="20"/>
      <x:c r="C20" s="21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22"/>
      <x:c r="O20" s="17"/>
    </x:row>
    <x:row r="21">
      <x:c r="A21" s="17"/>
      <x:c r="B21" s="20"/>
      <x:c r="C21" s="21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22"/>
      <x:c r="O21" s="17"/>
    </x:row>
    <x:row r="22">
      <x:c r="A22" s="17"/>
      <x:c r="B22" s="20"/>
      <x:c r="C22" s="21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22"/>
      <x:c r="O22" s="17"/>
    </x:row>
    <x:row r="23">
      <x:c r="A23" s="17"/>
      <x:c r="B23" s="20"/>
      <x:c r="C23" s="21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22"/>
      <x:c r="O23" s="17"/>
    </x:row>
    <x:row r="24">
      <x:c r="A24" s="17"/>
      <x:c r="B24" s="20"/>
      <x:c r="C24" s="21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22"/>
      <x:c r="O24" s="17"/>
    </x:row>
    <x:row r="25">
      <x:c r="A25" s="17"/>
      <x:c r="B25" s="20"/>
      <x:c r="C25" s="21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22"/>
      <x:c r="O25" s="17"/>
    </x:row>
    <x:row r="26">
      <x:c r="A26" s="17"/>
      <x:c r="B26" s="20"/>
      <x:c r="C26" s="21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22"/>
      <x:c r="O26" s="17"/>
    </x:row>
    <x:row r="27">
      <x:c r="A27" s="17"/>
      <x:c r="B27" s="20"/>
      <x:c r="C27" s="21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22"/>
      <x:c r="O27" s="17"/>
    </x:row>
    <x:row r="28">
      <x:c r="A28" s="17"/>
      <x:c r="B28" s="20"/>
      <x:c r="C28" s="21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22"/>
      <x:c r="O28" s="17"/>
    </x:row>
    <x:row r="29">
      <x:c r="A29" s="17"/>
      <x:c r="B29" s="20"/>
      <x:c r="C29" s="21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22"/>
      <x:c r="O29" s="17"/>
    </x:row>
    <x:row r="30">
      <x:c r="A30" s="17"/>
      <x:c r="B30" s="20"/>
      <x:c r="C30" s="21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22"/>
      <x:c r="O30" s="17"/>
    </x:row>
    <x:row r="31">
      <x:c r="A31" s="17"/>
      <x:c r="B31" s="20"/>
      <x:c r="C31" s="21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22"/>
      <x:c r="O31" s="17"/>
    </x:row>
    <x:row r="32">
      <x:c r="A32" s="17"/>
      <x:c r="B32" s="20"/>
      <x:c r="C32" s="21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22"/>
      <x:c r="O32" s="17"/>
    </x:row>
    <x:row r="33">
      <x:c r="A33" s="17"/>
      <x:c r="B33" s="20"/>
      <x:c r="C33" s="21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22"/>
      <x:c r="O33" s="17"/>
    </x:row>
    <x:row r="34">
      <x:c r="A34" s="17"/>
      <x:c r="B34" s="20"/>
      <x:c r="C34" s="21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22"/>
      <x:c r="O34" s="17"/>
    </x:row>
    <x:row r="35">
      <x:c r="A35" s="17"/>
      <x:c r="B35" s="20"/>
      <x:c r="C35" s="21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22"/>
      <x:c r="O35" s="17"/>
    </x:row>
    <x:row r="36">
      <x:c r="A36" s="17"/>
      <x:c r="B36" s="20"/>
      <x:c r="C36" s="21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22"/>
      <x:c r="O36" s="17"/>
    </x:row>
    <x:row r="37">
      <x:c r="A37" s="17"/>
      <x:c r="B37" s="20"/>
      <x:c r="C37" s="21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22"/>
      <x:c r="O37" s="17"/>
    </x:row>
    <x:row r="38">
      <x:c r="A38" s="17"/>
      <x:c r="B38" s="20"/>
      <x:c r="C38" s="21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22"/>
      <x:c r="O38" s="17"/>
    </x:row>
    <x:row r="39">
      <x:c r="A39" s="17"/>
      <x:c r="B39" s="20"/>
      <x:c r="C39" s="21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22"/>
      <x:c r="O39" s="17"/>
    </x:row>
    <x:row r="40">
      <x:c r="A40" s="17"/>
      <x:c r="B40" s="20"/>
      <x:c r="C40" s="21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22"/>
      <x:c r="O40" s="17"/>
    </x:row>
    <x:row r="41">
      <x:c r="A41" s="17"/>
      <x:c r="B41" s="20"/>
      <x:c r="C41" s="21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22"/>
      <x:c r="O41" s="17"/>
    </x:row>
    <x:row r="42">
      <x:c r="A42" s="17"/>
      <x:c r="B42" s="20"/>
      <x:c r="C42" s="21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22"/>
      <x:c r="O42" s="17"/>
    </x:row>
    <x:row r="43">
      <x:c r="A43" s="17"/>
      <x:c r="B43" s="20"/>
      <x:c r="C43" s="21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22"/>
      <x:c r="O43" s="17"/>
    </x:row>
    <x:row r="44">
      <x:c r="A44" s="17"/>
      <x:c r="B44" s="20"/>
      <x:c r="C44" s="21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22"/>
      <x:c r="O44" s="17"/>
    </x:row>
    <x:row r="45">
      <x:c r="A45" s="17"/>
      <x:c r="B45" s="20"/>
      <x:c r="C45" s="21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22"/>
      <x:c r="O45" s="17"/>
    </x:row>
    <x:row r="46">
      <x:c r="A46" s="17"/>
      <x:c r="B46" s="20"/>
      <x:c r="C46" s="21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22"/>
      <x:c r="O46" s="17"/>
    </x:row>
    <x:row r="47">
      <x:c r="A47" s="17"/>
      <x:c r="B47" s="20"/>
      <x:c r="C47" s="21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22"/>
      <x:c r="O47" s="17"/>
    </x:row>
    <x:row r="48">
      <x:c r="A48" s="17"/>
      <x:c r="B48" s="20"/>
      <x:c r="C48" s="21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22"/>
      <x:c r="O48" s="17"/>
    </x:row>
    <x:row r="49">
      <x:c r="A49" s="17"/>
      <x:c r="B49" s="20"/>
      <x:c r="C49" s="21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22"/>
      <x:c r="O49" s="17"/>
    </x:row>
    <x:row r="50">
      <x:c r="A50" s="17"/>
      <x:c r="B50" s="20"/>
      <x:c r="C50" s="21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22"/>
      <x:c r="O50" s="17"/>
    </x:row>
    <x:row r="51">
      <x:c r="A51" s="17"/>
      <x:c r="B51" s="20"/>
      <x:c r="C51" s="21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22"/>
      <x:c r="O51" s="17"/>
    </x:row>
    <x:row r="52">
      <x:c r="A52" s="17"/>
      <x:c r="B52" s="20"/>
      <x:c r="C52" s="21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22"/>
      <x:c r="O52" s="17"/>
    </x:row>
    <x:row r="53">
      <x:c r="A53" s="17"/>
      <x:c r="B53" s="20"/>
      <x:c r="C53" s="21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22"/>
      <x:c r="O53" s="17"/>
    </x:row>
    <x:row r="54">
      <x:c r="A54" s="17"/>
      <x:c r="B54" s="20"/>
      <x:c r="C54" s="21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22"/>
      <x:c r="O54" s="17"/>
    </x:row>
    <x:row r="55">
      <x:c r="A55" s="17"/>
      <x:c r="B55" s="20"/>
      <x:c r="C55" s="21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22"/>
      <x:c r="O55" s="17"/>
    </x:row>
    <x:row r="56">
      <x:c r="A56" s="17"/>
      <x:c r="B56" s="20"/>
      <x:c r="C56" s="21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22"/>
      <x:c r="O56" s="17"/>
    </x:row>
    <x:row r="57">
      <x:c r="A57" s="17"/>
      <x:c r="B57" s="20"/>
      <x:c r="C57" s="21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22"/>
      <x:c r="O57" s="17"/>
    </x:row>
    <x:row r="58">
      <x:c r="A58" s="17"/>
      <x:c r="B58" s="20"/>
      <x:c r="C58" s="21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22"/>
      <x:c r="O58" s="17"/>
    </x:row>
    <x:row r="59">
      <x:c r="A59" s="17"/>
      <x:c r="B59" s="20"/>
      <x:c r="C59" s="21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22"/>
      <x:c r="O59" s="17"/>
    </x:row>
    <x:row r="60">
      <x:c r="A60" s="17"/>
      <x:c r="B60" s="20"/>
      <x:c r="C60" s="21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22"/>
      <x:c r="O60" s="17"/>
    </x:row>
    <x:row r="61">
      <x:c r="A61" s="17"/>
      <x:c r="B61" s="20"/>
      <x:c r="C61" s="21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22"/>
      <x:c r="O61" s="17"/>
    </x:row>
    <x:row r="62">
      <x:c r="A62" s="17"/>
      <x:c r="B62" s="20"/>
      <x:c r="C62" s="21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22"/>
      <x:c r="O62" s="17"/>
    </x:row>
    <x:row r="63">
      <x:c r="A63" s="17"/>
      <x:c r="B63" s="20"/>
      <x:c r="C63" s="21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22"/>
      <x:c r="O63" s="17"/>
    </x:row>
    <x:row r="64">
      <x:c r="A64" s="17"/>
      <x:c r="B64" s="20"/>
      <x:c r="C64" s="21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22"/>
      <x:c r="O64" s="17"/>
    </x:row>
    <x:row r="65">
      <x:c r="A65" s="17"/>
      <x:c r="B65" s="20"/>
      <x:c r="C65" s="21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22"/>
      <x:c r="O65" s="17"/>
    </x:row>
    <x:row r="66">
      <x:c r="A66" s="17"/>
      <x:c r="B66" s="20"/>
      <x:c r="C66" s="21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22"/>
      <x:c r="O66" s="17"/>
    </x:row>
    <x:row r="67">
      <x:c r="A67" s="17"/>
      <x:c r="B67" s="20"/>
      <x:c r="C67" s="21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22"/>
      <x:c r="O67" s="17"/>
    </x:row>
    <x:row r="68">
      <x:c r="A68" s="17"/>
      <x:c r="B68" s="20"/>
      <x:c r="C68" s="21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22"/>
      <x:c r="O68" s="17"/>
    </x:row>
    <x:row r="69">
      <x:c r="A69" s="17"/>
      <x:c r="B69" s="20"/>
      <x:c r="C69" s="21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22"/>
      <x:c r="O69" s="17"/>
    </x:row>
    <x:row r="70">
      <x:c r="A70" s="17"/>
      <x:c r="B70" s="20"/>
      <x:c r="C70" s="21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22"/>
      <x:c r="O70" s="17"/>
    </x:row>
    <x:row r="71">
      <x:c r="A71" s="17"/>
      <x:c r="B71" s="20"/>
      <x:c r="C71" s="21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22"/>
      <x:c r="O71" s="17"/>
    </x:row>
    <x:row r="72">
      <x:c r="A72" s="17"/>
      <x:c r="B72" s="20"/>
      <x:c r="C72" s="21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22"/>
      <x:c r="O72" s="17"/>
    </x:row>
    <x:row r="73">
      <x:c r="A73" s="17"/>
      <x:c r="B73" s="20"/>
      <x:c r="C73" s="21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22"/>
      <x:c r="O73" s="17"/>
    </x:row>
    <x:row r="74">
      <x:c r="A74" s="17"/>
      <x:c r="B74" s="20"/>
      <x:c r="C74" s="21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22"/>
      <x:c r="O74" s="17"/>
    </x:row>
    <x:row r="75">
      <x:c r="A75" s="17"/>
      <x:c r="B75" s="20"/>
      <x:c r="C75" s="21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22"/>
      <x:c r="O75" s="17"/>
    </x:row>
    <x:row r="76">
      <x:c r="A76" s="17"/>
      <x:c r="B76" s="20"/>
      <x:c r="C76" s="21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22"/>
      <x:c r="O76" s="17"/>
    </x:row>
    <x:row r="77">
      <x:c r="A77" s="17"/>
      <x:c r="B77" s="20"/>
      <x:c r="C77" s="21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22"/>
      <x:c r="O77" s="17"/>
    </x:row>
    <x:row r="78">
      <x:c r="A78" s="17"/>
      <x:c r="B78" s="20"/>
      <x:c r="C78" s="21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22"/>
      <x:c r="O78" s="17"/>
    </x:row>
    <x:row r="79">
      <x:c r="A79" s="17"/>
      <x:c r="B79" s="20"/>
      <x:c r="C79" s="21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22"/>
      <x:c r="O79" s="17"/>
    </x:row>
    <x:row r="80">
      <x:c r="A80" s="17"/>
      <x:c r="B80" s="20"/>
      <x:c r="C80" s="21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22"/>
      <x:c r="O80" s="17"/>
    </x:row>
    <x:row r="81">
      <x:c r="A81" s="17"/>
      <x:c r="B81" s="20"/>
      <x:c r="C81" s="21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22"/>
      <x:c r="O81" s="17"/>
    </x:row>
    <x:row r="82">
      <x:c r="A82" s="17"/>
      <x:c r="B82" s="20"/>
      <x:c r="C82" s="21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22"/>
      <x:c r="O82" s="17"/>
    </x:row>
    <x:row r="83">
      <x:c r="A83" s="17"/>
      <x:c r="B83" s="20"/>
      <x:c r="C83" s="21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22"/>
      <x:c r="O83" s="17"/>
    </x:row>
    <x:row r="84">
      <x:c r="A84" s="17"/>
      <x:c r="B84" s="20"/>
      <x:c r="C84" s="21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22"/>
      <x:c r="O84" s="17"/>
    </x:row>
    <x:row r="85">
      <x:c r="A85" s="17"/>
      <x:c r="B85" s="20"/>
      <x:c r="C85" s="21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22"/>
      <x:c r="O85" s="17"/>
    </x:row>
    <x:row r="86">
      <x:c r="A86" s="17"/>
      <x:c r="B86" s="20"/>
      <x:c r="C86" s="21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22"/>
      <x:c r="O86" s="17"/>
    </x:row>
    <x:row r="87">
      <x:c r="A87" s="17"/>
      <x:c r="B87" s="20"/>
      <x:c r="C87" s="21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22"/>
      <x:c r="O87" s="17"/>
    </x:row>
    <x:row r="88">
      <x:c r="A88" s="17"/>
      <x:c r="B88" s="20"/>
      <x:c r="C88" s="21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22"/>
      <x:c r="O88" s="17"/>
    </x:row>
    <x:row r="89">
      <x:c r="A89" s="17"/>
      <x:c r="B89" s="20"/>
      <x:c r="C89" s="21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22"/>
      <x:c r="O89" s="17"/>
    </x:row>
    <x:row r="90">
      <x:c r="A90" s="17"/>
      <x:c r="B90" s="20"/>
      <x:c r="C90" s="21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22"/>
      <x:c r="O90" s="17"/>
    </x:row>
    <x:row r="91">
      <x:c r="A91" s="17"/>
      <x:c r="B91" s="20"/>
      <x:c r="C91" s="21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22"/>
      <x:c r="O91" s="17"/>
    </x:row>
    <x:row r="92">
      <x:c r="A92" s="17"/>
      <x:c r="B92" s="20"/>
      <x:c r="C92" s="21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22"/>
      <x:c r="O92" s="17"/>
    </x:row>
    <x:row r="93">
      <x:c r="A93" s="17"/>
      <x:c r="B93" s="20"/>
      <x:c r="C93" s="21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22"/>
      <x:c r="O93" s="17"/>
    </x:row>
    <x:row r="94">
      <x:c r="A94" s="17"/>
      <x:c r="B94" s="20"/>
      <x:c r="C94" s="21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22"/>
      <x:c r="O94" s="17"/>
    </x:row>
    <x:row r="95">
      <x:c r="A95" s="17"/>
      <x:c r="B95" s="20"/>
      <x:c r="C95" s="21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22"/>
      <x:c r="O95" s="17"/>
    </x:row>
    <x:row r="96">
      <x:c r="A96" s="17"/>
      <x:c r="B96" s="20"/>
      <x:c r="C96" s="21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22"/>
      <x:c r="O96" s="17"/>
    </x:row>
    <x:row r="97">
      <x:c r="A97" s="17"/>
      <x:c r="B97" s="20"/>
      <x:c r="C97" s="21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22"/>
      <x:c r="O97" s="17"/>
    </x:row>
    <x:row r="98">
      <x:c r="A98" s="17"/>
      <x:c r="B98" s="20"/>
      <x:c r="C98" s="21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22"/>
      <x:c r="O98" s="17"/>
    </x:row>
    <x:row r="99">
      <x:c r="A99" s="17"/>
      <x:c r="B99" s="20"/>
      <x:c r="C99" s="21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22"/>
      <x:c r="O99" s="17"/>
    </x:row>
    <x:row r="100">
      <x:c r="A100" s="17"/>
      <x:c r="B100" s="20"/>
      <x:c r="C100" s="21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22"/>
      <x:c r="O100" s="17"/>
    </x:row>
    <x:row r="101">
      <x:c r="A101" s="17"/>
      <x:c r="B101" s="20"/>
      <x:c r="C101" s="21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22"/>
      <x:c r="O101" s="17"/>
    </x:row>
    <x:row r="102">
      <x:c r="A102" s="17"/>
      <x:c r="B102" s="20"/>
      <x:c r="C102" s="21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22"/>
      <x:c r="O102" s="17"/>
    </x:row>
    <x:row r="103">
      <x:c r="A103" s="17"/>
      <x:c r="B103" s="20"/>
      <x:c r="C103" s="21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22"/>
      <x:c r="O103" s="17"/>
    </x:row>
    <x:row r="104">
      <x:c r="A104" s="17"/>
      <x:c r="B104" s="20"/>
      <x:c r="C104" s="21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22"/>
      <x:c r="O104" s="17"/>
    </x:row>
    <x:row r="105">
      <x:c r="A105" s="17"/>
      <x:c r="B105" s="20"/>
      <x:c r="C105" s="21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22"/>
      <x:c r="O105" s="17"/>
    </x:row>
    <x:row r="106">
      <x:c r="A106" s="17"/>
      <x:c r="B106" s="20"/>
      <x:c r="C106" s="21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22"/>
      <x:c r="O106" s="17"/>
    </x:row>
    <x:row r="107">
      <x:c r="A107" s="17"/>
      <x:c r="B107" s="20"/>
      <x:c r="C107" s="21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22"/>
      <x:c r="O107" s="17"/>
    </x:row>
    <x:row r="108">
      <x:c r="A108" s="17"/>
      <x:c r="B108" s="20"/>
      <x:c r="C108" s="21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22"/>
      <x:c r="O108" s="17"/>
    </x:row>
    <x:row r="109">
      <x:c r="A109" s="17"/>
      <x:c r="B109" s="20"/>
      <x:c r="C109" s="21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22"/>
      <x:c r="O109" s="17"/>
    </x:row>
    <x:row r="110">
      <x:c r="A110" s="17"/>
      <x:c r="B110" s="20"/>
      <x:c r="C110" s="21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22"/>
      <x:c r="O110" s="17"/>
    </x:row>
    <x:row r="111">
      <x:c r="A111" s="17"/>
      <x:c r="B111" s="20"/>
      <x:c r="C111" s="21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22"/>
      <x:c r="O111" s="17"/>
    </x:row>
    <x:row r="112">
      <x:c r="A112" s="17"/>
      <x:c r="B112" s="20"/>
      <x:c r="C112" s="21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22"/>
      <x:c r="O112" s="17"/>
    </x:row>
    <x:row r="113">
      <x:c r="A113" s="17"/>
      <x:c r="B113" s="20"/>
      <x:c r="C113" s="21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22"/>
      <x:c r="O113" s="17"/>
    </x:row>
    <x:row r="114">
      <x:c r="A114" s="17"/>
      <x:c r="B114" s="20"/>
      <x:c r="C114" s="21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22"/>
      <x:c r="O114" s="17"/>
    </x:row>
    <x:row r="115">
      <x:c r="A115" s="17"/>
      <x:c r="B115" s="20"/>
      <x:c r="C115" s="21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22"/>
      <x:c r="O115" s="17"/>
    </x:row>
    <x:row r="116">
      <x:c r="A116" s="17"/>
      <x:c r="B116" s="20"/>
      <x:c r="C116" s="21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22"/>
      <x:c r="O116" s="17"/>
    </x:row>
    <x:row r="117">
      <x:c r="A117" s="17"/>
      <x:c r="B117" s="20"/>
      <x:c r="C117" s="21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22"/>
      <x:c r="O117" s="17"/>
    </x:row>
    <x:row r="118">
      <x:c r="A118" s="17"/>
      <x:c r="B118" s="20"/>
      <x:c r="C118" s="21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22"/>
      <x:c r="O118" s="17"/>
    </x:row>
    <x:row r="119">
      <x:c r="A119" s="17"/>
      <x:c r="B119" s="20"/>
      <x:c r="C119" s="21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22"/>
      <x:c r="O119" s="17"/>
    </x:row>
    <x:row r="120">
      <x:c r="A120" s="17"/>
      <x:c r="B120" s="20"/>
      <x:c r="C120" s="21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22"/>
      <x:c r="O120" s="17"/>
    </x:row>
    <x:row r="121">
      <x:c r="A121" s="17"/>
      <x:c r="B121" s="20"/>
      <x:c r="C121" s="21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22"/>
      <x:c r="O121" s="17"/>
    </x:row>
    <x:row r="122">
      <x:c r="A122" s="17"/>
      <x:c r="B122" s="20"/>
      <x:c r="C122" s="21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22"/>
      <x:c r="O122" s="17"/>
    </x:row>
    <x:row r="123">
      <x:c r="A123" s="17"/>
      <x:c r="B123" s="20"/>
      <x:c r="C123" s="21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22"/>
      <x:c r="O123" s="17"/>
    </x:row>
    <x:row r="124">
      <x:c r="A124" s="17"/>
      <x:c r="B124" s="20"/>
      <x:c r="C124" s="21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22"/>
      <x:c r="O124" s="17"/>
    </x:row>
    <x:row r="125">
      <x:c r="A125" s="17"/>
      <x:c r="B125" s="20"/>
      <x:c r="C125" s="21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22"/>
      <x:c r="O125" s="17"/>
    </x:row>
    <x:row r="126">
      <x:c r="A126" s="17"/>
      <x:c r="B126" s="20"/>
      <x:c r="C126" s="21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22"/>
      <x:c r="O126" s="17"/>
    </x:row>
    <x:row r="127">
      <x:c r="A127" s="17"/>
      <x:c r="B127" s="20"/>
      <x:c r="C127" s="21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22"/>
      <x:c r="O127" s="17"/>
    </x:row>
    <x:row r="128">
      <x:c r="A128" s="17"/>
      <x:c r="B128" s="20"/>
      <x:c r="C128" s="21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22"/>
      <x:c r="O128" s="17"/>
    </x:row>
    <x:row r="129">
      <x:c r="A129" s="17"/>
      <x:c r="B129" s="20"/>
      <x:c r="C129" s="21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22"/>
      <x:c r="O129" s="17"/>
    </x:row>
    <x:row r="130">
      <x:c r="A130" s="17"/>
      <x:c r="B130" s="20"/>
      <x:c r="C130" s="21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22"/>
      <x:c r="O130" s="17"/>
    </x:row>
    <x:row r="131">
      <x:c r="A131" s="17"/>
      <x:c r="B131" s="20"/>
      <x:c r="C131" s="21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22"/>
      <x:c r="O131" s="17"/>
    </x:row>
    <x:row r="132">
      <x:c r="A132" s="17"/>
      <x:c r="B132" s="20"/>
      <x:c r="C132" s="21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22"/>
      <x:c r="O132" s="17"/>
    </x:row>
    <x:row r="133">
      <x:c r="A133" s="17"/>
      <x:c r="B133" s="20"/>
      <x:c r="C133" s="21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22"/>
      <x:c r="O133" s="17"/>
    </x:row>
    <x:row r="134">
      <x:c r="A134" s="17"/>
      <x:c r="B134" s="20"/>
      <x:c r="C134" s="21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22"/>
      <x:c r="O134" s="17"/>
    </x:row>
    <x:row r="135">
      <x:c r="A135" s="17"/>
      <x:c r="B135" s="20"/>
      <x:c r="C135" s="21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22"/>
      <x:c r="O135" s="17"/>
    </x:row>
    <x:row r="136">
      <x:c r="A136" s="17"/>
      <x:c r="B136" s="20"/>
      <x:c r="C136" s="21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22"/>
      <x:c r="O136" s="17"/>
    </x:row>
    <x:row r="137">
      <x:c r="A137" s="17"/>
      <x:c r="B137" s="20"/>
      <x:c r="C137" s="21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22"/>
      <x:c r="O137" s="17"/>
    </x:row>
    <x:row r="138">
      <x:c r="A138" s="17"/>
      <x:c r="B138" s="20"/>
      <x:c r="C138" s="21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22"/>
      <x:c r="O138" s="17"/>
    </x:row>
    <x:row r="139">
      <x:c r="A139" s="17"/>
      <x:c r="B139" s="20"/>
      <x:c r="C139" s="21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22"/>
      <x:c r="O139" s="17"/>
    </x:row>
    <x:row r="140">
      <x:c r="A140" s="17"/>
      <x:c r="B140" s="20"/>
      <x:c r="C140" s="21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22"/>
      <x:c r="O140" s="17"/>
    </x:row>
    <x:row r="141">
      <x:c r="A141" s="17"/>
      <x:c r="B141" s="20"/>
      <x:c r="C141" s="21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22"/>
      <x:c r="O141" s="17"/>
    </x:row>
    <x:row r="142">
      <x:c r="A142" s="17"/>
      <x:c r="B142" s="20"/>
      <x:c r="C142" s="21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22"/>
      <x:c r="O142" s="17"/>
    </x:row>
    <x:row r="143">
      <x:c r="A143" s="17"/>
      <x:c r="B143" s="20"/>
      <x:c r="C143" s="21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22"/>
      <x:c r="O143" s="17"/>
    </x:row>
    <x:row r="144">
      <x:c r="A144" s="17"/>
      <x:c r="B144" s="20"/>
      <x:c r="C144" s="21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22"/>
      <x:c r="O144" s="17"/>
    </x:row>
    <x:row r="145">
      <x:c r="A145" s="17"/>
      <x:c r="B145" s="20"/>
      <x:c r="C145" s="21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22"/>
      <x:c r="O145" s="17"/>
    </x:row>
    <x:row r="146">
      <x:c r="A146" s="17"/>
      <x:c r="B146" s="20"/>
      <x:c r="C146" s="21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22"/>
      <x:c r="O146" s="17"/>
    </x:row>
    <x:row r="147">
      <x:c r="A147" s="17"/>
      <x:c r="B147" s="20"/>
      <x:c r="C147" s="21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22"/>
      <x:c r="O147" s="17"/>
    </x:row>
    <x:row r="148">
      <x:c r="A148" s="17"/>
      <x:c r="B148" s="20"/>
      <x:c r="C148" s="21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22"/>
      <x:c r="O148" s="17"/>
    </x:row>
    <x:row r="149">
      <x:c r="A149" s="17"/>
      <x:c r="B149" s="20"/>
      <x:c r="C149" s="21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22"/>
      <x:c r="O149" s="17"/>
    </x:row>
    <x:row r="150">
      <x:c r="A150" s="17"/>
      <x:c r="B150" s="20"/>
      <x:c r="C150" s="21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22"/>
      <x:c r="O150" s="17"/>
    </x:row>
    <x:row r="151">
      <x:c r="A151" s="17"/>
      <x:c r="B151" s="20"/>
      <x:c r="C151" s="21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22"/>
      <x:c r="O151" s="17"/>
    </x:row>
    <x:row r="152">
      <x:c r="A152" s="17"/>
      <x:c r="B152" s="20"/>
      <x:c r="C152" s="21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22"/>
      <x:c r="O152" s="17"/>
    </x:row>
    <x:row r="153">
      <x:c r="A153" s="17"/>
      <x:c r="B153" s="20"/>
      <x:c r="C153" s="21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22"/>
      <x:c r="O153" s="17"/>
    </x:row>
    <x:row r="154">
      <x:c r="A154" s="17"/>
      <x:c r="B154" s="20"/>
      <x:c r="C154" s="21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22"/>
      <x:c r="O154" s="17"/>
    </x:row>
    <x:row r="155">
      <x:c r="A155" s="17"/>
      <x:c r="B155" s="20"/>
      <x:c r="C155" s="21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22"/>
      <x:c r="O155" s="17"/>
    </x:row>
    <x:row r="156">
      <x:c r="A156" s="17"/>
      <x:c r="B156" s="20"/>
      <x:c r="C156" s="21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22"/>
      <x:c r="O156" s="17"/>
    </x:row>
    <x:row r="157">
      <x:c r="A157" s="17"/>
      <x:c r="B157" s="20"/>
      <x:c r="C157" s="21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22"/>
      <x:c r="O157" s="17"/>
    </x:row>
    <x:row r="158">
      <x:c r="A158" s="17"/>
      <x:c r="B158" s="20"/>
      <x:c r="C158" s="21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22"/>
      <x:c r="O158" s="17"/>
    </x:row>
    <x:row r="159">
      <x:c r="A159" s="17"/>
      <x:c r="B159" s="20"/>
      <x:c r="C159" s="21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22"/>
      <x:c r="O159" s="17"/>
    </x:row>
    <x:row r="160">
      <x:c r="A160" s="17"/>
      <x:c r="B160" s="20"/>
      <x:c r="C160" s="21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22"/>
      <x:c r="O160" s="17"/>
    </x:row>
    <x:row r="161">
      <x:c r="A161" s="17"/>
      <x:c r="B161" s="20"/>
      <x:c r="C161" s="21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22"/>
      <x:c r="O161" s="17"/>
    </x:row>
    <x:row r="162">
      <x:c r="A162" s="17"/>
      <x:c r="B162" s="20"/>
      <x:c r="C162" s="21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22"/>
      <x:c r="O162" s="17"/>
    </x:row>
    <x:row r="163">
      <x:c r="A163" s="17"/>
      <x:c r="B163" s="20"/>
      <x:c r="C163" s="21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22"/>
      <x:c r="O163" s="17"/>
    </x:row>
    <x:row r="164">
      <x:c r="A164" s="17"/>
      <x:c r="B164" s="20"/>
      <x:c r="C164" s="21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22"/>
      <x:c r="O164" s="17"/>
    </x:row>
    <x:row r="165">
      <x:c r="A165" s="17"/>
      <x:c r="B165" s="20"/>
      <x:c r="C165" s="21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22"/>
      <x:c r="O165" s="17"/>
    </x:row>
    <x:row r="166">
      <x:c r="A166" s="17"/>
      <x:c r="B166" s="20"/>
      <x:c r="C166" s="21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22"/>
      <x:c r="O166" s="17"/>
    </x:row>
    <x:row r="167">
      <x:c r="A167" s="17"/>
      <x:c r="B167" s="20"/>
      <x:c r="C167" s="21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22"/>
      <x:c r="O167" s="17"/>
    </x:row>
    <x:row r="168">
      <x:c r="A168" s="17"/>
      <x:c r="B168" s="20"/>
      <x:c r="C168" s="21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22"/>
      <x:c r="O168" s="17"/>
    </x:row>
    <x:row r="169">
      <x:c r="A169" s="17"/>
      <x:c r="B169" s="20"/>
      <x:c r="C169" s="21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22"/>
      <x:c r="O169" s="17"/>
    </x:row>
    <x:row r="170">
      <x:c r="A170" s="17"/>
      <x:c r="B170" s="20"/>
      <x:c r="C170" s="21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22"/>
      <x:c r="O170" s="17"/>
    </x:row>
    <x:row r="171">
      <x:c r="A171" s="17"/>
      <x:c r="B171" s="20"/>
      <x:c r="C171" s="21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22"/>
      <x:c r="O171" s="17"/>
    </x:row>
    <x:row r="172">
      <x:c r="A172" s="17"/>
      <x:c r="B172" s="20"/>
      <x:c r="C172" s="21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22"/>
      <x:c r="O172" s="17"/>
    </x:row>
    <x:row r="173">
      <x:c r="A173" s="17"/>
      <x:c r="B173" s="20"/>
      <x:c r="C173" s="21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22"/>
      <x:c r="O173" s="17"/>
    </x:row>
    <x:row r="174">
      <x:c r="A174" s="17"/>
      <x:c r="B174" s="20"/>
      <x:c r="C174" s="21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22"/>
      <x:c r="O174" s="17"/>
    </x:row>
    <x:row r="175">
      <x:c r="A175" s="17"/>
      <x:c r="B175" s="20"/>
      <x:c r="C175" s="21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22"/>
      <x:c r="O175" s="17"/>
    </x:row>
    <x:row r="176">
      <x:c r="A176" s="17"/>
      <x:c r="B176" s="20"/>
      <x:c r="C176" s="21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22"/>
      <x:c r="O176" s="17"/>
    </x:row>
    <x:row r="177">
      <x:c r="A177" s="17"/>
      <x:c r="B177" s="20"/>
      <x:c r="C177" s="21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22"/>
      <x:c r="O177" s="17"/>
    </x:row>
    <x:row r="178">
      <x:c r="A178" s="17"/>
      <x:c r="B178" s="20"/>
      <x:c r="C178" s="21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22"/>
      <x:c r="O178" s="17"/>
    </x:row>
    <x:row r="179">
      <x:c r="A179" s="17"/>
      <x:c r="B179" s="20"/>
      <x:c r="C179" s="21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22"/>
      <x:c r="O179" s="17"/>
    </x:row>
    <x:row r="180">
      <x:c r="A180" s="17"/>
      <x:c r="B180" s="20"/>
      <x:c r="C180" s="21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22"/>
      <x:c r="O180" s="17"/>
    </x:row>
    <x:row r="181">
      <x:c r="A181" s="17"/>
      <x:c r="B181" s="20"/>
      <x:c r="C181" s="21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22"/>
      <x:c r="O181" s="17"/>
    </x:row>
    <x:row r="182">
      <x:c r="A182" s="17"/>
      <x:c r="B182" s="20"/>
      <x:c r="C182" s="21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22"/>
      <x:c r="O182" s="17"/>
    </x:row>
    <x:row r="183">
      <x:c r="A183" s="17"/>
      <x:c r="B183" s="20"/>
      <x:c r="C183" s="21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22"/>
      <x:c r="O183" s="17"/>
    </x:row>
    <x:row r="184">
      <x:c r="A184" s="17"/>
      <x:c r="B184" s="20"/>
      <x:c r="C184" s="21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22"/>
      <x:c r="O184" s="17"/>
    </x:row>
    <x:row r="185">
      <x:c r="A185" s="17"/>
      <x:c r="B185" s="20"/>
      <x:c r="C185" s="21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22"/>
      <x:c r="O185" s="17"/>
    </x:row>
    <x:row r="186">
      <x:c r="A186" s="17"/>
      <x:c r="B186" s="20"/>
      <x:c r="C186" s="21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22"/>
      <x:c r="O186" s="17"/>
    </x:row>
    <x:row r="187">
      <x:c r="A187" s="17"/>
      <x:c r="B187" s="20"/>
      <x:c r="C187" s="21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22"/>
      <x:c r="O187" s="17"/>
    </x:row>
    <x:row r="188">
      <x:c r="A188" s="17"/>
      <x:c r="B188" s="20"/>
      <x:c r="C188" s="21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22"/>
      <x:c r="O188" s="17"/>
    </x:row>
    <x:row r="189">
      <x:c r="A189" s="17"/>
      <x:c r="B189" s="20"/>
      <x:c r="C189" s="21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22"/>
      <x:c r="O189" s="17"/>
    </x:row>
    <x:row r="190">
      <x:c r="A190" s="17"/>
      <x:c r="B190" s="20"/>
      <x:c r="C190" s="21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22"/>
      <x:c r="O190" s="17"/>
    </x:row>
    <x:row r="191">
      <x:c r="A191" s="17"/>
      <x:c r="B191" s="20"/>
      <x:c r="C191" s="21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22"/>
      <x:c r="O191" s="17"/>
    </x:row>
    <x:row r="192">
      <x:c r="A192" s="17"/>
      <x:c r="B192" s="20"/>
      <x:c r="C192" s="21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22"/>
      <x:c r="O192" s="17"/>
    </x:row>
    <x:row r="193">
      <x:c r="A193" s="17"/>
      <x:c r="B193" s="20"/>
      <x:c r="C193" s="21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22"/>
      <x:c r="O193" s="17"/>
    </x:row>
    <x:row r="194">
      <x:c r="A194" s="17"/>
      <x:c r="B194" s="20"/>
      <x:c r="C194" s="21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22"/>
      <x:c r="O194" s="17"/>
    </x:row>
    <x:row r="195">
      <x:c r="A195" s="17"/>
      <x:c r="B195" s="20"/>
      <x:c r="C195" s="21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22"/>
      <x:c r="O195" s="17"/>
    </x:row>
    <x:row r="196">
      <x:c r="A196" s="17"/>
      <x:c r="B196" s="20"/>
      <x:c r="C196" s="21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22"/>
      <x:c r="O196" s="17"/>
    </x:row>
    <x:row r="197">
      <x:c r="A197" s="17"/>
      <x:c r="B197" s="20"/>
      <x:c r="C197" s="21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22"/>
      <x:c r="O197" s="17"/>
    </x:row>
    <x:row r="198">
      <x:c r="A198" s="17"/>
      <x:c r="B198" s="20"/>
      <x:c r="C198" s="21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22"/>
      <x:c r="O198" s="17"/>
    </x:row>
    <x:row r="199">
      <x:c r="A199" s="17"/>
      <x:c r="B199" s="20"/>
      <x:c r="C199" s="21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22"/>
      <x:c r="O199" s="17"/>
    </x:row>
    <x:row r="200">
      <x:c r="A200" s="17"/>
      <x:c r="B200" s="20"/>
      <x:c r="C200" s="21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22"/>
      <x:c r="O200" s="17"/>
    </x:row>
    <x:row r="201">
      <x:c r="A201" s="17"/>
      <x:c r="B201" s="20"/>
      <x:c r="C201" s="21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22"/>
      <x:c r="O201" s="17"/>
    </x:row>
    <x:row r="202">
      <x:c r="A202" s="17"/>
      <x:c r="B202" s="20"/>
      <x:c r="C202" s="21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22"/>
      <x:c r="O202" s="17"/>
    </x:row>
    <x:row r="203">
      <x:c r="A203" s="17"/>
      <x:c r="B203" s="20"/>
      <x:c r="C203" s="21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22"/>
      <x:c r="O203" s="17"/>
    </x:row>
    <x:row r="204">
      <x:c r="A204" s="17"/>
      <x:c r="B204" s="20"/>
      <x:c r="C204" s="21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22"/>
      <x:c r="O204" s="17"/>
    </x:row>
    <x:row r="205">
      <x:c r="A205" s="17"/>
      <x:c r="B205" s="20"/>
      <x:c r="C205" s="21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22"/>
      <x:c r="O205" s="17"/>
    </x:row>
    <x:row r="206">
      <x:c r="A206" s="17"/>
      <x:c r="B206" s="20"/>
      <x:c r="C206" s="21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22"/>
      <x:c r="O206" s="17"/>
    </x:row>
    <x:row r="207">
      <x:c r="A207" s="17"/>
      <x:c r="B207" s="20"/>
      <x:c r="C207" s="21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22"/>
      <x:c r="O207" s="17"/>
    </x:row>
    <x:row r="208">
      <x:c r="A208" s="17"/>
      <x:c r="B208" s="20"/>
      <x:c r="C208" s="21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22"/>
      <x:c r="O208" s="17"/>
    </x:row>
    <x:row r="209">
      <x:c r="A209" s="17"/>
      <x:c r="B209" s="20"/>
      <x:c r="C209" s="21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22"/>
      <x:c r="O209" s="17"/>
    </x:row>
    <x:row r="210">
      <x:c r="A210" s="17"/>
      <x:c r="B210" s="20"/>
      <x:c r="C210" s="21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22"/>
      <x:c r="O210" s="17"/>
    </x:row>
    <x:row r="211">
      <x:c r="A211" s="17"/>
      <x:c r="B211" s="20"/>
      <x:c r="C211" s="21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22"/>
      <x:c r="O211" s="17"/>
    </x:row>
    <x:row r="212">
      <x:c r="A212" s="17"/>
      <x:c r="B212" s="20"/>
      <x:c r="C212" s="21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22"/>
      <x:c r="O212" s="17"/>
    </x:row>
    <x:row r="213">
      <x:c r="A213" s="17"/>
      <x:c r="B213" s="20"/>
      <x:c r="C213" s="21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22"/>
      <x:c r="O213" s="17"/>
    </x:row>
    <x:row r="214">
      <x:c r="A214" s="17"/>
      <x:c r="B214" s="20"/>
      <x:c r="C214" s="21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22"/>
      <x:c r="O214" s="17"/>
    </x:row>
    <x:row r="215">
      <x:c r="A215" s="17"/>
      <x:c r="B215" s="20"/>
      <x:c r="C215" s="21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22"/>
      <x:c r="O215" s="17"/>
    </x:row>
    <x:row r="216">
      <x:c r="A216" s="17"/>
      <x:c r="B216" s="20"/>
      <x:c r="C216" s="21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22"/>
      <x:c r="O216" s="17"/>
    </x:row>
    <x:row r="217">
      <x:c r="A217" s="17"/>
      <x:c r="B217" s="20"/>
      <x:c r="C217" s="21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22"/>
      <x:c r="O217" s="17"/>
    </x:row>
    <x:row r="218">
      <x:c r="A218" s="17"/>
      <x:c r="B218" s="20"/>
      <x:c r="C218" s="21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22"/>
      <x:c r="O218" s="17"/>
    </x:row>
    <x:row r="219">
      <x:c r="A219" s="17"/>
      <x:c r="B219" s="20"/>
      <x:c r="C219" s="21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22"/>
      <x:c r="O219" s="17"/>
    </x:row>
    <x:row r="220">
      <x:c r="A220" s="17"/>
      <x:c r="B220" s="20"/>
      <x:c r="C220" s="21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22"/>
      <x:c r="O220" s="17"/>
    </x:row>
    <x:row r="221">
      <x:c r="A221" s="17"/>
      <x:c r="B221" s="20"/>
      <x:c r="C221" s="21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22"/>
      <x:c r="O221" s="17"/>
    </x:row>
    <x:row r="222">
      <x:c r="A222" s="17"/>
      <x:c r="B222" s="20"/>
      <x:c r="C222" s="21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22"/>
      <x:c r="O222" s="17"/>
    </x:row>
    <x:row r="223">
      <x:c r="A223" s="17"/>
      <x:c r="B223" s="20"/>
      <x:c r="C223" s="21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22"/>
      <x:c r="O223" s="17"/>
    </x:row>
    <x:row r="224">
      <x:c r="A224" s="17"/>
      <x:c r="B224" s="20"/>
      <x:c r="C224" s="21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22"/>
      <x:c r="O224" s="17"/>
    </x:row>
    <x:row r="225">
      <x:c r="A225" s="17"/>
      <x:c r="B225" s="20"/>
      <x:c r="C225" s="21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22"/>
      <x:c r="O225" s="17"/>
    </x:row>
    <x:row r="226">
      <x:c r="A226" s="17"/>
      <x:c r="B226" s="20"/>
      <x:c r="C226" s="21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22"/>
      <x:c r="O226" s="17"/>
    </x:row>
    <x:row r="227">
      <x:c r="A227" s="17"/>
      <x:c r="B227" s="20"/>
      <x:c r="C227" s="21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22"/>
      <x:c r="O227" s="17"/>
    </x:row>
    <x:row r="228">
      <x:c r="A228" s="17"/>
      <x:c r="B228" s="20"/>
      <x:c r="C228" s="21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22"/>
      <x:c r="O228" s="17"/>
    </x:row>
    <x:row r="229">
      <x:c r="A229" s="17"/>
      <x:c r="B229" s="20"/>
      <x:c r="C229" s="21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22"/>
      <x:c r="O229" s="17"/>
    </x:row>
    <x:row r="230">
      <x:c r="A230" s="17"/>
      <x:c r="B230" s="20"/>
      <x:c r="C230" s="21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22"/>
      <x:c r="O230" s="17"/>
    </x:row>
    <x:row r="231">
      <x:c r="A231" s="17"/>
      <x:c r="B231" s="20"/>
      <x:c r="C231" s="21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22"/>
      <x:c r="O231" s="17"/>
    </x:row>
    <x:row r="232">
      <x:c r="A232" s="17"/>
      <x:c r="B232" s="20"/>
      <x:c r="C232" s="21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22"/>
      <x:c r="O232" s="17"/>
    </x:row>
    <x:row r="233">
      <x:c r="A233" s="17"/>
      <x:c r="B233" s="20"/>
      <x:c r="C233" s="21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22"/>
      <x:c r="O233" s="17"/>
    </x:row>
    <x:row r="234">
      <x:c r="A234" s="17"/>
      <x:c r="B234" s="20"/>
      <x:c r="C234" s="21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22"/>
      <x:c r="O234" s="17"/>
    </x:row>
    <x:row r="235">
      <x:c r="A235" s="17"/>
      <x:c r="B235" s="20"/>
      <x:c r="C235" s="21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22"/>
      <x:c r="O235" s="17"/>
    </x:row>
    <x:row r="236">
      <x:c r="A236" s="17"/>
      <x:c r="B236" s="20"/>
      <x:c r="C236" s="21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22"/>
      <x:c r="O236" s="17"/>
    </x:row>
    <x:row r="237">
      <x:c r="A237" s="17"/>
      <x:c r="B237" s="20"/>
      <x:c r="C237" s="21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22"/>
      <x:c r="O237" s="17"/>
    </x:row>
    <x:row r="238">
      <x:c r="A238" s="17"/>
      <x:c r="B238" s="20"/>
      <x:c r="C238" s="21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22"/>
      <x:c r="O238" s="17"/>
    </x:row>
    <x:row r="239">
      <x:c r="A239" s="17"/>
      <x:c r="B239" s="20"/>
      <x:c r="C239" s="21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22"/>
      <x:c r="O239" s="17"/>
    </x:row>
    <x:row r="240">
      <x:c r="A240" s="17"/>
      <x:c r="B240" s="20"/>
      <x:c r="C240" s="21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22"/>
      <x:c r="O240" s="17"/>
    </x:row>
    <x:row r="241">
      <x:c r="A241" s="17"/>
      <x:c r="B241" s="20"/>
      <x:c r="C241" s="21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22"/>
      <x:c r="O241" s="17"/>
    </x:row>
    <x:row r="242">
      <x:c r="A242" s="17"/>
      <x:c r="B242" s="20"/>
      <x:c r="C242" s="21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22"/>
      <x:c r="O242" s="17"/>
    </x:row>
    <x:row r="243">
      <x:c r="A243" s="17"/>
      <x:c r="B243" s="20"/>
      <x:c r="C243" s="21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22"/>
      <x:c r="O243" s="17"/>
    </x:row>
    <x:row r="244">
      <x:c r="A244" s="17"/>
      <x:c r="B244" s="20"/>
      <x:c r="C244" s="21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22"/>
      <x:c r="O244" s="17"/>
    </x:row>
    <x:row r="245">
      <x:c r="A245" s="17"/>
      <x:c r="B245" s="20"/>
      <x:c r="C245" s="21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22"/>
      <x:c r="O245" s="17"/>
    </x:row>
    <x:row r="246">
      <x:c r="A246" s="17"/>
      <x:c r="B246" s="20"/>
      <x:c r="C246" s="21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22"/>
      <x:c r="O246" s="17"/>
    </x:row>
    <x:row r="247">
      <x:c r="A247" s="17"/>
      <x:c r="B247" s="20"/>
      <x:c r="C247" s="21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22"/>
      <x:c r="O247" s="17"/>
    </x:row>
    <x:row r="248">
      <x:c r="A248" s="17"/>
      <x:c r="B248" s="20"/>
      <x:c r="C248" s="21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22"/>
      <x:c r="O248" s="17"/>
    </x:row>
    <x:row r="249">
      <x:c r="A249" s="17"/>
      <x:c r="B249" s="20"/>
      <x:c r="C249" s="21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22"/>
      <x:c r="O249" s="17"/>
    </x:row>
    <x:row r="250">
      <x:c r="A250" s="17"/>
      <x:c r="B250" s="20"/>
      <x:c r="C250" s="21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22"/>
      <x:c r="O250" s="17"/>
    </x:row>
    <x:row r="251">
      <x:c r="A251" s="17"/>
      <x:c r="B251" s="20"/>
      <x:c r="C251" s="21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22"/>
      <x:c r="O251" s="17"/>
    </x:row>
    <x:row r="252">
      <x:c r="A252" s="17"/>
      <x:c r="B252" s="20"/>
      <x:c r="C252" s="21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22"/>
      <x:c r="O252" s="17"/>
    </x:row>
    <x:row r="253">
      <x:c r="A253" s="17"/>
      <x:c r="B253" s="20"/>
      <x:c r="C253" s="21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22"/>
      <x:c r="O253" s="17"/>
    </x:row>
    <x:row r="254">
      <x:c r="A254" s="17"/>
      <x:c r="B254" s="20"/>
      <x:c r="C254" s="21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22"/>
      <x:c r="O254" s="17"/>
    </x:row>
    <x:row r="255">
      <x:c r="A255" s="17"/>
      <x:c r="B255" s="20"/>
      <x:c r="C255" s="21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22"/>
      <x:c r="O255" s="17"/>
    </x:row>
    <x:row r="256">
      <x:c r="A256" s="17"/>
      <x:c r="B256" s="20"/>
      <x:c r="C256" s="21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22"/>
      <x:c r="O256" s="17"/>
    </x:row>
    <x:row r="257">
      <x:c r="A257" s="17"/>
      <x:c r="B257" s="20"/>
      <x:c r="C257" s="21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22"/>
      <x:c r="O257" s="17"/>
    </x:row>
    <x:row r="258">
      <x:c r="A258" s="17"/>
      <x:c r="B258" s="20"/>
      <x:c r="C258" s="21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22"/>
      <x:c r="O258" s="17"/>
    </x:row>
    <x:row r="259">
      <x:c r="A259" s="17"/>
      <x:c r="B259" s="20"/>
      <x:c r="C259" s="21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22"/>
      <x:c r="O259" s="17"/>
    </x:row>
    <x:row r="260">
      <x:c r="A260" s="17"/>
      <x:c r="B260" s="20"/>
      <x:c r="C260" s="21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22"/>
      <x:c r="O260" s="17"/>
    </x:row>
    <x:row r="261">
      <x:c r="A261" s="17"/>
      <x:c r="B261" s="20"/>
      <x:c r="C261" s="21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22"/>
      <x:c r="O261" s="17"/>
    </x:row>
    <x:row r="262">
      <x:c r="A262" s="17"/>
      <x:c r="B262" s="20"/>
      <x:c r="C262" s="21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22"/>
      <x:c r="O262" s="17"/>
    </x:row>
    <x:row r="263">
      <x:c r="A263" s="17"/>
      <x:c r="B263" s="20"/>
      <x:c r="C263" s="21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22"/>
      <x:c r="O263" s="17"/>
    </x:row>
    <x:row r="264">
      <x:c r="A264" s="17"/>
      <x:c r="B264" s="20"/>
      <x:c r="C264" s="21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22"/>
      <x:c r="O264" s="17"/>
    </x:row>
    <x:row r="265">
      <x:c r="A265" s="17"/>
      <x:c r="B265" s="20"/>
      <x:c r="C265" s="21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22"/>
      <x:c r="O265" s="17"/>
    </x:row>
    <x:row r="266">
      <x:c r="A266" s="17"/>
      <x:c r="B266" s="20"/>
      <x:c r="C266" s="21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22"/>
      <x:c r="O266" s="17"/>
    </x:row>
    <x:row r="267">
      <x:c r="A267" s="17"/>
      <x:c r="B267" s="20"/>
      <x:c r="C267" s="21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22"/>
      <x:c r="O267" s="17"/>
    </x:row>
    <x:row r="268">
      <x:c r="A268" s="17"/>
      <x:c r="B268" s="20"/>
      <x:c r="C268" s="21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22"/>
      <x:c r="O268" s="17"/>
    </x:row>
    <x:row r="269">
      <x:c r="A269" s="17"/>
      <x:c r="B269" s="20"/>
      <x:c r="C269" s="21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22"/>
      <x:c r="O269" s="17"/>
    </x:row>
    <x:row r="270">
      <x:c r="A270" s="17"/>
      <x:c r="B270" s="20"/>
      <x:c r="C270" s="21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22"/>
      <x:c r="O270" s="17"/>
    </x:row>
    <x:row r="271">
      <x:c r="A271" s="17"/>
      <x:c r="B271" s="20"/>
      <x:c r="C271" s="21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22"/>
      <x:c r="O271" s="17"/>
    </x:row>
    <x:row r="272">
      <x:c r="A272" s="17"/>
      <x:c r="B272" s="20"/>
      <x:c r="C272" s="21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22"/>
      <x:c r="O272" s="17"/>
    </x:row>
    <x:row r="273">
      <x:c r="A273" s="17"/>
      <x:c r="B273" s="20"/>
      <x:c r="C273" s="21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22"/>
      <x:c r="O273" s="17"/>
    </x:row>
    <x:row r="274">
      <x:c r="A274" s="17"/>
      <x:c r="B274" s="20"/>
      <x:c r="C274" s="21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22"/>
      <x:c r="O274" s="17"/>
    </x:row>
    <x:row r="275">
      <x:c r="A275" s="17"/>
      <x:c r="B275" s="20"/>
      <x:c r="C275" s="21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22"/>
      <x:c r="O275" s="17"/>
    </x:row>
    <x:row r="276">
      <x:c r="A276" s="17"/>
      <x:c r="B276" s="20"/>
      <x:c r="C276" s="21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22"/>
      <x:c r="O276" s="17"/>
    </x:row>
    <x:row r="277">
      <x:c r="A277" s="17"/>
      <x:c r="B277" s="20"/>
      <x:c r="C277" s="21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22"/>
      <x:c r="O277" s="17"/>
    </x:row>
    <x:row r="278">
      <x:c r="A278" s="17"/>
      <x:c r="B278" s="20"/>
      <x:c r="C278" s="21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22"/>
      <x:c r="O278" s="17"/>
    </x:row>
    <x:row r="279">
      <x:c r="A279" s="17"/>
      <x:c r="B279" s="20"/>
      <x:c r="C279" s="21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22"/>
      <x:c r="O279" s="17"/>
    </x:row>
    <x:row r="280">
      <x:c r="A280" s="17"/>
      <x:c r="B280" s="20"/>
      <x:c r="C280" s="21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22"/>
      <x:c r="O280" s="17"/>
    </x:row>
    <x:row r="281">
      <x:c r="A281" s="17"/>
      <x:c r="B281" s="20"/>
      <x:c r="C281" s="21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22"/>
      <x:c r="O281" s="17"/>
    </x:row>
    <x:row r="282">
      <x:c r="A282" s="17"/>
      <x:c r="B282" s="20"/>
      <x:c r="C282" s="21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22"/>
      <x:c r="O282" s="17"/>
    </x:row>
    <x:row r="283">
      <x:c r="A283" s="17"/>
      <x:c r="B283" s="20"/>
      <x:c r="C283" s="21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22"/>
      <x:c r="O283" s="17"/>
    </x:row>
    <x:row r="284">
      <x:c r="A284" s="17"/>
      <x:c r="B284" s="20"/>
      <x:c r="C284" s="21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22"/>
      <x:c r="O284" s="17"/>
    </x:row>
    <x:row r="285">
      <x:c r="A285" s="17"/>
      <x:c r="B285" s="20"/>
      <x:c r="C285" s="21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22"/>
      <x:c r="O285" s="17"/>
    </x:row>
    <x:row r="286">
      <x:c r="A286" s="17"/>
      <x:c r="B286" s="20"/>
      <x:c r="C286" s="21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22"/>
      <x:c r="O286" s="17"/>
    </x:row>
    <x:row r="287">
      <x:c r="A287" s="17"/>
      <x:c r="B287" s="20"/>
      <x:c r="C287" s="21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22"/>
      <x:c r="O287" s="17"/>
    </x:row>
    <x:row r="288">
      <x:c r="A288" s="17"/>
      <x:c r="B288" s="20"/>
      <x:c r="C288" s="21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22"/>
      <x:c r="O288" s="17"/>
    </x:row>
    <x:row r="289">
      <x:c r="A289" s="17"/>
      <x:c r="B289" s="20"/>
      <x:c r="C289" s="21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22"/>
      <x:c r="O289" s="17"/>
    </x:row>
    <x:row r="290">
      <x:c r="A290" s="17"/>
      <x:c r="B290" s="20"/>
      <x:c r="C290" s="21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22"/>
      <x:c r="O290" s="17"/>
    </x:row>
    <x:row r="291">
      <x:c r="A291" s="17"/>
      <x:c r="B291" s="20"/>
      <x:c r="C291" s="21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22"/>
      <x:c r="O291" s="17"/>
    </x:row>
    <x:row r="292">
      <x:c r="A292" s="17"/>
      <x:c r="B292" s="20"/>
      <x:c r="C292" s="21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22"/>
      <x:c r="O292" s="17"/>
    </x:row>
    <x:row r="293">
      <x:c r="A293" s="17"/>
      <x:c r="B293" s="20"/>
      <x:c r="C293" s="21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22"/>
      <x:c r="O293" s="17"/>
    </x:row>
    <x:row r="294">
      <x:c r="A294" s="17"/>
      <x:c r="B294" s="20"/>
      <x:c r="C294" s="21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22"/>
      <x:c r="O294" s="17"/>
    </x:row>
    <x:row r="295">
      <x:c r="A295" s="17"/>
      <x:c r="B295" s="20"/>
      <x:c r="C295" s="21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22"/>
      <x:c r="O295" s="17"/>
    </x:row>
    <x:row r="296">
      <x:c r="A296" s="17"/>
      <x:c r="B296" s="20"/>
      <x:c r="C296" s="21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22"/>
      <x:c r="O296" s="17"/>
    </x:row>
    <x:row r="297">
      <x:c r="A297" s="17"/>
      <x:c r="B297" s="20"/>
      <x:c r="C297" s="21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22"/>
      <x:c r="O297" s="17"/>
    </x:row>
    <x:row r="298">
      <x:c r="A298" s="17"/>
      <x:c r="B298" s="20"/>
      <x:c r="C298" s="21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22"/>
      <x:c r="O298" s="17"/>
    </x:row>
    <x:row r="299">
      <x:c r="A299" s="17"/>
      <x:c r="B299" s="20"/>
      <x:c r="C299" s="21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22"/>
      <x:c r="O299" s="17"/>
    </x:row>
    <x:row r="300">
      <x:c r="A300" s="17"/>
      <x:c r="B300" s="20"/>
      <x:c r="C300" s="21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22"/>
      <x:c r="O300" s="17"/>
    </x:row>
    <x:row r="301">
      <x:c r="A301" s="17"/>
      <x:c r="B301" s="20"/>
      <x:c r="C301" s="21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22"/>
      <x:c r="O301" s="17"/>
    </x:row>
    <x:row r="302">
      <x:c r="A302" s="17"/>
      <x:c r="B302" s="20"/>
      <x:c r="C302" s="21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22"/>
      <x:c r="O302" s="17"/>
    </x:row>
    <x:row r="303">
      <x:c r="A303" s="17"/>
      <x:c r="B303" s="20"/>
      <x:c r="C303" s="21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22"/>
      <x:c r="O303" s="17"/>
    </x:row>
    <x:row r="304">
      <x:c r="A304" s="17"/>
      <x:c r="B304" s="20"/>
      <x:c r="C304" s="21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22"/>
      <x:c r="O304" s="17"/>
    </x:row>
    <x:row r="305">
      <x:c r="A305" s="17"/>
      <x:c r="B305" s="20"/>
      <x:c r="C305" s="21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22"/>
      <x:c r="O305" s="17"/>
    </x:row>
    <x:row r="306">
      <x:c r="A306" s="17"/>
      <x:c r="B306" s="20"/>
      <x:c r="C306" s="21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22"/>
      <x:c r="O306" s="17"/>
    </x:row>
    <x:row r="307">
      <x:c r="A307" s="17"/>
      <x:c r="B307" s="20"/>
      <x:c r="C307" s="21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22"/>
      <x:c r="O307" s="17"/>
    </x:row>
    <x:row r="308">
      <x:c r="A308" s="17"/>
      <x:c r="B308" s="20"/>
      <x:c r="C308" s="21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22"/>
      <x:c r="O308" s="17"/>
    </x:row>
    <x:row r="309">
      <x:c r="A309" s="17"/>
      <x:c r="B309" s="20"/>
      <x:c r="C309" s="21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22"/>
      <x:c r="O309" s="17"/>
    </x:row>
    <x:row r="310">
      <x:c r="A310" s="17"/>
      <x:c r="B310" s="20"/>
      <x:c r="C310" s="21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22"/>
      <x:c r="O310" s="17"/>
    </x:row>
    <x:row r="311">
      <x:c r="A311" s="17"/>
      <x:c r="B311" s="20"/>
      <x:c r="C311" s="21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22"/>
      <x:c r="O311" s="17"/>
    </x:row>
    <x:row r="312">
      <x:c r="A312" s="17"/>
      <x:c r="B312" s="20"/>
      <x:c r="C312" s="21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22"/>
      <x:c r="O312" s="17"/>
    </x:row>
    <x:row r="313">
      <x:c r="A313" s="17"/>
      <x:c r="B313" s="20"/>
      <x:c r="C313" s="21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22"/>
      <x:c r="O313" s="17"/>
    </x:row>
    <x:row r="314">
      <x:c r="A314" s="17"/>
      <x:c r="B314" s="20"/>
      <x:c r="C314" s="21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22"/>
      <x:c r="O314" s="17"/>
    </x:row>
    <x:row r="315">
      <x:c r="A315" s="17"/>
      <x:c r="B315" s="20"/>
      <x:c r="C315" s="21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22"/>
      <x:c r="O315" s="17"/>
    </x:row>
    <x:row r="316">
      <x:c r="A316" s="17"/>
      <x:c r="B316" s="20"/>
      <x:c r="C316" s="21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22"/>
      <x:c r="O316" s="17"/>
    </x:row>
    <x:row r="317">
      <x:c r="A317" s="17"/>
      <x:c r="B317" s="20"/>
      <x:c r="C317" s="21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22"/>
      <x:c r="O317" s="17"/>
    </x:row>
    <x:row r="318">
      <x:c r="A318" s="17"/>
      <x:c r="B318" s="20"/>
      <x:c r="C318" s="21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22"/>
      <x:c r="O318" s="17"/>
    </x:row>
    <x:row r="319">
      <x:c r="A319" s="17"/>
      <x:c r="B319" s="20"/>
      <x:c r="C319" s="21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22"/>
      <x:c r="O319" s="17"/>
    </x:row>
    <x:row r="320">
      <x:c r="A320" s="17"/>
      <x:c r="B320" s="20"/>
      <x:c r="C320" s="21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22"/>
      <x:c r="O320" s="17"/>
    </x:row>
    <x:row r="321">
      <x:c r="A321" s="17"/>
      <x:c r="B321" s="20"/>
      <x:c r="C321" s="21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22"/>
      <x:c r="O321" s="17"/>
    </x:row>
    <x:row r="322">
      <x:c r="A322" s="17"/>
      <x:c r="B322" s="20"/>
      <x:c r="C322" s="21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22"/>
      <x:c r="O322" s="17"/>
    </x:row>
    <x:row r="323">
      <x:c r="A323" s="17"/>
      <x:c r="B323" s="20"/>
      <x:c r="C323" s="21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22"/>
      <x:c r="O323" s="17"/>
    </x:row>
    <x:row r="324">
      <x:c r="A324" s="17"/>
      <x:c r="B324" s="20"/>
      <x:c r="C324" s="21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22"/>
      <x:c r="O324" s="17"/>
    </x:row>
    <x:row r="325">
      <x:c r="A325" s="17"/>
      <x:c r="B325" s="20"/>
      <x:c r="C325" s="21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22"/>
      <x:c r="O325" s="17"/>
    </x:row>
    <x:row r="326">
      <x:c r="A326" s="17"/>
      <x:c r="B326" s="20"/>
      <x:c r="C326" s="21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22"/>
      <x:c r="O326" s="17"/>
    </x:row>
    <x:row r="327">
      <x:c r="A327" s="17"/>
      <x:c r="B327" s="20"/>
      <x:c r="C327" s="21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22"/>
      <x:c r="O327" s="17"/>
    </x:row>
    <x:row r="328">
      <x:c r="A328" s="17"/>
      <x:c r="B328" s="20"/>
      <x:c r="C328" s="21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22"/>
      <x:c r="O328" s="17"/>
    </x:row>
    <x:row r="329">
      <x:c r="A329" s="17"/>
      <x:c r="B329" s="20"/>
      <x:c r="C329" s="21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22"/>
      <x:c r="O329" s="17"/>
    </x:row>
    <x:row r="330">
      <x:c r="A330" s="17"/>
      <x:c r="B330" s="20"/>
      <x:c r="C330" s="21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22"/>
      <x:c r="O330" s="17"/>
    </x:row>
    <x:row r="331">
      <x:c r="A331" s="17"/>
      <x:c r="B331" s="20"/>
      <x:c r="C331" s="21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22"/>
      <x:c r="O331" s="17"/>
    </x:row>
    <x:row r="332">
      <x:c r="A332" s="17"/>
      <x:c r="B332" s="20"/>
      <x:c r="C332" s="21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22"/>
      <x:c r="O332" s="17"/>
    </x:row>
    <x:row r="333">
      <x:c r="A333" s="17"/>
      <x:c r="B333" s="20"/>
      <x:c r="C333" s="21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22"/>
      <x:c r="O333" s="17"/>
    </x:row>
    <x:row r="334">
      <x:c r="A334" s="17"/>
      <x:c r="B334" s="20"/>
      <x:c r="C334" s="21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22"/>
      <x:c r="O334" s="17"/>
    </x:row>
    <x:row r="335">
      <x:c r="A335" s="17"/>
      <x:c r="B335" s="20"/>
      <x:c r="C335" s="21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22"/>
      <x:c r="O335" s="17"/>
    </x:row>
    <x:row r="336">
      <x:c r="A336" s="17"/>
      <x:c r="B336" s="20"/>
      <x:c r="C336" s="21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22"/>
      <x:c r="O336" s="17"/>
    </x:row>
    <x:row r="337">
      <x:c r="A337" s="17"/>
      <x:c r="B337" s="20"/>
      <x:c r="C337" s="21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22"/>
      <x:c r="O337" s="17"/>
    </x:row>
    <x:row r="338">
      <x:c r="A338" s="17"/>
      <x:c r="B338" s="20"/>
      <x:c r="C338" s="21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22"/>
      <x:c r="O338" s="17"/>
    </x:row>
    <x:row r="339">
      <x:c r="A339" s="17"/>
      <x:c r="B339" s="20"/>
      <x:c r="C339" s="21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22"/>
      <x:c r="O339" s="17"/>
    </x:row>
    <x:row r="340">
      <x:c r="A340" s="17"/>
      <x:c r="B340" s="20"/>
      <x:c r="C340" s="21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22"/>
      <x:c r="O340" s="17"/>
    </x:row>
    <x:row r="341">
      <x:c r="A341" s="17"/>
      <x:c r="B341" s="20"/>
      <x:c r="C341" s="21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22"/>
      <x:c r="O341" s="17"/>
    </x:row>
    <x:row r="342">
      <x:c r="A342" s="17"/>
      <x:c r="B342" s="20"/>
      <x:c r="C342" s="21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22"/>
      <x:c r="O342" s="17"/>
    </x:row>
    <x:row r="343">
      <x:c r="A343" s="17"/>
      <x:c r="B343" s="20"/>
      <x:c r="C343" s="21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22"/>
      <x:c r="O343" s="17"/>
    </x:row>
    <x:row r="344">
      <x:c r="A344" s="17"/>
      <x:c r="B344" s="20"/>
      <x:c r="C344" s="21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22"/>
      <x:c r="O344" s="17"/>
    </x:row>
    <x:row r="345">
      <x:c r="A345" s="17"/>
      <x:c r="B345" s="20"/>
      <x:c r="C345" s="21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22"/>
      <x:c r="O345" s="17"/>
    </x:row>
    <x:row r="346">
      <x:c r="A346" s="17"/>
      <x:c r="B346" s="20"/>
      <x:c r="C346" s="21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22"/>
      <x:c r="O346" s="17"/>
    </x:row>
    <x:row r="347">
      <x:c r="A347" s="17"/>
      <x:c r="B347" s="20"/>
      <x:c r="C347" s="21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22"/>
      <x:c r="O347" s="17"/>
    </x:row>
    <x:row r="348">
      <x:c r="A348" s="17"/>
      <x:c r="B348" s="20"/>
      <x:c r="C348" s="21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22"/>
      <x:c r="O348" s="17"/>
    </x:row>
    <x:row r="349">
      <x:c r="A349" s="17"/>
      <x:c r="B349" s="20"/>
      <x:c r="C349" s="21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22"/>
      <x:c r="O349" s="17"/>
    </x:row>
    <x:row r="350">
      <x:c r="A350" s="17"/>
      <x:c r="B350" s="20"/>
      <x:c r="C350" s="21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22"/>
      <x:c r="O350" s="17"/>
    </x:row>
    <x:row r="351">
      <x:c r="A351" s="17"/>
      <x:c r="B351" s="20"/>
      <x:c r="C351" s="21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22"/>
      <x:c r="O351" s="17"/>
    </x:row>
    <x:row r="352">
      <x:c r="A352" s="17"/>
      <x:c r="B352" s="20"/>
      <x:c r="C352" s="21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22"/>
      <x:c r="O352" s="17"/>
    </x:row>
    <x:row r="353">
      <x:c r="A353" s="17"/>
      <x:c r="B353" s="20"/>
      <x:c r="C353" s="21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22"/>
      <x:c r="O353" s="17"/>
    </x:row>
    <x:row r="354">
      <x:c r="A354" s="17"/>
      <x:c r="B354" s="20"/>
      <x:c r="C354" s="21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22"/>
      <x:c r="O354" s="17"/>
    </x:row>
    <x:row r="355">
      <x:c r="A355" s="17"/>
      <x:c r="B355" s="20"/>
      <x:c r="C355" s="21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22"/>
      <x:c r="O355" s="17"/>
    </x:row>
    <x:row r="356">
      <x:c r="A356" s="17"/>
      <x:c r="B356" s="20"/>
      <x:c r="C356" s="21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22"/>
      <x:c r="O356" s="17"/>
    </x:row>
    <x:row r="357">
      <x:c r="A357" s="17"/>
      <x:c r="B357" s="20"/>
      <x:c r="C357" s="21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22"/>
      <x:c r="O357" s="17"/>
    </x:row>
    <x:row r="358">
      <x:c r="A358" s="17"/>
      <x:c r="B358" s="20"/>
      <x:c r="C358" s="21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22"/>
      <x:c r="O358" s="17"/>
    </x:row>
    <x:row r="359">
      <x:c r="A359" s="17"/>
      <x:c r="B359" s="20"/>
      <x:c r="C359" s="21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22"/>
      <x:c r="O359" s="17"/>
    </x:row>
    <x:row r="360">
      <x:c r="A360" s="17"/>
      <x:c r="B360" s="20"/>
      <x:c r="C360" s="21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22"/>
      <x:c r="O360" s="17"/>
    </x:row>
    <x:row r="361">
      <x:c r="A361" s="17"/>
      <x:c r="B361" s="20"/>
      <x:c r="C361" s="21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22"/>
      <x:c r="O361" s="17"/>
    </x:row>
    <x:row r="362">
      <x:c r="A362" s="17"/>
      <x:c r="B362" s="20"/>
      <x:c r="C362" s="21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22"/>
      <x:c r="O362" s="17"/>
    </x:row>
    <x:row r="363">
      <x:c r="A363" s="17"/>
      <x:c r="B363" s="20"/>
      <x:c r="C363" s="21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22"/>
      <x:c r="O363" s="17"/>
    </x:row>
    <x:row r="364">
      <x:c r="A364" s="17"/>
      <x:c r="B364" s="20"/>
      <x:c r="C364" s="21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22"/>
      <x:c r="O364" s="17"/>
    </x:row>
    <x:row r="365">
      <x:c r="A365" s="17"/>
      <x:c r="B365" s="20"/>
      <x:c r="C365" s="21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22"/>
      <x:c r="O365" s="17"/>
    </x:row>
    <x:row r="366">
      <x:c r="A366" s="17"/>
      <x:c r="B366" s="20"/>
      <x:c r="C366" s="21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22"/>
      <x:c r="O366" s="17"/>
    </x:row>
    <x:row r="367">
      <x:c r="A367" s="17"/>
      <x:c r="B367" s="20"/>
      <x:c r="C367" s="21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22"/>
      <x:c r="O367" s="17"/>
    </x:row>
    <x:row r="368">
      <x:c r="A368" s="17"/>
      <x:c r="B368" s="20"/>
      <x:c r="C368" s="21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22"/>
      <x:c r="O368" s="17"/>
    </x:row>
    <x:row r="369">
      <x:c r="A369" s="17"/>
      <x:c r="B369" s="20"/>
      <x:c r="C369" s="21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22"/>
      <x:c r="O369" s="17"/>
    </x:row>
    <x:row r="370">
      <x:c r="A370" s="17"/>
      <x:c r="B370" s="20"/>
      <x:c r="C370" s="21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22"/>
      <x:c r="O370" s="17"/>
    </x:row>
    <x:row r="371">
      <x:c r="A371" s="17"/>
      <x:c r="B371" s="20"/>
      <x:c r="C371" s="21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22"/>
      <x:c r="O371" s="17"/>
    </x:row>
    <x:row r="372">
      <x:c r="A372" s="17"/>
      <x:c r="B372" s="20"/>
      <x:c r="C372" s="21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22"/>
      <x:c r="O372" s="17"/>
    </x:row>
    <x:row r="373">
      <x:c r="A373" s="17"/>
      <x:c r="B373" s="20"/>
      <x:c r="C373" s="21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22"/>
      <x:c r="O373" s="17"/>
    </x:row>
    <x:row r="374">
      <x:c r="A374" s="17"/>
      <x:c r="B374" s="20"/>
      <x:c r="C374" s="21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22"/>
      <x:c r="O374" s="17"/>
    </x:row>
    <x:row r="375">
      <x:c r="A375" s="17"/>
      <x:c r="B375" s="20"/>
      <x:c r="C375" s="21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22"/>
      <x:c r="O375" s="17"/>
    </x:row>
    <x:row r="376">
      <x:c r="A376" s="17"/>
      <x:c r="B376" s="20"/>
      <x:c r="C376" s="21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22"/>
      <x:c r="O376" s="17"/>
    </x:row>
    <x:row r="377">
      <x:c r="A377" s="17"/>
      <x:c r="B377" s="20"/>
      <x:c r="C377" s="21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22"/>
      <x:c r="O377" s="17"/>
    </x:row>
    <x:row r="378">
      <x:c r="A378" s="17"/>
      <x:c r="B378" s="20"/>
      <x:c r="C378" s="21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22"/>
      <x:c r="O378" s="17"/>
    </x:row>
    <x:row r="379">
      <x:c r="A379" s="17"/>
      <x:c r="B379" s="20"/>
      <x:c r="C379" s="21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22"/>
      <x:c r="O379" s="17"/>
    </x:row>
    <x:row r="380">
      <x:c r="A380" s="17"/>
      <x:c r="B380" s="20"/>
      <x:c r="C380" s="21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22"/>
      <x:c r="O380" s="17"/>
    </x:row>
    <x:row r="381">
      <x:c r="A381" s="17"/>
      <x:c r="B381" s="20"/>
      <x:c r="C381" s="21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22"/>
      <x:c r="O381" s="17"/>
    </x:row>
    <x:row r="382">
      <x:c r="A382" s="17"/>
      <x:c r="B382" s="20"/>
      <x:c r="C382" s="21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22"/>
      <x:c r="O382" s="17"/>
    </x:row>
    <x:row r="383">
      <x:c r="A383" s="17"/>
      <x:c r="B383" s="20"/>
      <x:c r="C383" s="21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22"/>
      <x:c r="O383" s="17"/>
    </x:row>
    <x:row r="384">
      <x:c r="A384" s="17"/>
      <x:c r="B384" s="20"/>
      <x:c r="C384" s="21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22"/>
      <x:c r="O384" s="17"/>
    </x:row>
    <x:row r="385">
      <x:c r="A385" s="17"/>
      <x:c r="B385" s="20"/>
      <x:c r="C385" s="21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22"/>
      <x:c r="O385" s="17"/>
    </x:row>
    <x:row r="386">
      <x:c r="A386" s="17"/>
      <x:c r="B386" s="20"/>
      <x:c r="C386" s="21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22"/>
      <x:c r="O386" s="17"/>
    </x:row>
    <x:row r="387">
      <x:c r="A387" s="17"/>
      <x:c r="B387" s="20"/>
      <x:c r="C387" s="21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22"/>
      <x:c r="O387" s="17"/>
    </x:row>
    <x:row r="388">
      <x:c r="A388" s="17"/>
      <x:c r="B388" s="20"/>
      <x:c r="C388" s="21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22"/>
      <x:c r="O388" s="17"/>
    </x:row>
    <x:row r="389">
      <x:c r="A389" s="17"/>
      <x:c r="B389" s="20"/>
      <x:c r="C389" s="21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22"/>
      <x:c r="O389" s="17"/>
    </x:row>
    <x:row r="390">
      <x:c r="A390" s="17"/>
      <x:c r="B390" s="20"/>
      <x:c r="C390" s="21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22"/>
      <x:c r="O390" s="17"/>
    </x:row>
    <x:row r="391">
      <x:c r="A391" s="17"/>
      <x:c r="B391" s="20"/>
      <x:c r="C391" s="21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22"/>
      <x:c r="O391" s="17"/>
    </x:row>
    <x:row r="392">
      <x:c r="A392" s="17"/>
      <x:c r="B392" s="20"/>
      <x:c r="C392" s="21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22"/>
      <x:c r="O392" s="17"/>
    </x:row>
    <x:row r="393">
      <x:c r="A393" s="17"/>
      <x:c r="B393" s="20"/>
      <x:c r="C393" s="21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22"/>
      <x:c r="O393" s="17"/>
    </x:row>
    <x:row r="394">
      <x:c r="A394" s="17"/>
      <x:c r="B394" s="20"/>
      <x:c r="C394" s="21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22"/>
      <x:c r="O394" s="17"/>
    </x:row>
    <x:row r="395">
      <x:c r="A395" s="17"/>
      <x:c r="B395" s="20"/>
      <x:c r="C395" s="21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22"/>
      <x:c r="O395" s="17"/>
    </x:row>
    <x:row r="396">
      <x:c r="A396" s="17"/>
      <x:c r="B396" s="20"/>
      <x:c r="C396" s="21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22"/>
      <x:c r="O396" s="17"/>
    </x:row>
    <x:row r="397">
      <x:c r="A397" s="17"/>
      <x:c r="B397" s="20"/>
      <x:c r="C397" s="21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22"/>
      <x:c r="O397" s="17"/>
    </x:row>
    <x:row r="398">
      <x:c r="A398" s="17"/>
      <x:c r="B398" s="20"/>
      <x:c r="C398" s="21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22"/>
      <x:c r="O398" s="17"/>
    </x:row>
    <x:row r="399">
      <x:c r="A399" s="17"/>
      <x:c r="B399" s="20"/>
      <x:c r="C399" s="21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22"/>
      <x:c r="O399" s="17"/>
    </x:row>
    <x:row r="400">
      <x:c r="A400" s="17"/>
      <x:c r="B400" s="20"/>
      <x:c r="C400" s="21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22"/>
      <x:c r="O400" s="17"/>
    </x:row>
    <x:row r="401">
      <x:c r="A401" s="17"/>
      <x:c r="B401" s="20"/>
      <x:c r="C401" s="21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22"/>
      <x:c r="O401" s="17"/>
    </x:row>
    <x:row r="402">
      <x:c r="A402" s="17"/>
      <x:c r="B402" s="20"/>
      <x:c r="C402" s="21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22"/>
      <x:c r="O402" s="17"/>
    </x:row>
    <x:row r="403">
      <x:c r="A403" s="17"/>
      <x:c r="B403" s="20"/>
      <x:c r="C403" s="21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22"/>
      <x:c r="O403" s="17"/>
    </x:row>
    <x:row r="404">
      <x:c r="A404" s="17"/>
      <x:c r="B404" s="20"/>
      <x:c r="C404" s="21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22"/>
      <x:c r="O404" s="17"/>
    </x:row>
    <x:row r="405">
      <x:c r="A405" s="17"/>
      <x:c r="B405" s="20"/>
      <x:c r="C405" s="21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22"/>
      <x:c r="O405" s="17"/>
    </x:row>
    <x:row r="406">
      <x:c r="A406" s="17"/>
      <x:c r="B406" s="20"/>
      <x:c r="C406" s="21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22"/>
      <x:c r="O406" s="17"/>
    </x:row>
    <x:row r="407">
      <x:c r="A407" s="17"/>
      <x:c r="B407" s="20"/>
      <x:c r="C407" s="21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22"/>
      <x:c r="O407" s="17"/>
    </x:row>
    <x:row r="408">
      <x:c r="A408" s="17"/>
      <x:c r="B408" s="20"/>
      <x:c r="C408" s="21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22"/>
      <x:c r="O408" s="17"/>
    </x:row>
    <x:row r="409">
      <x:c r="A409" s="17"/>
      <x:c r="B409" s="20"/>
      <x:c r="C409" s="21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22"/>
      <x:c r="O409" s="17"/>
    </x:row>
    <x:row r="410">
      <x:c r="A410" s="17"/>
      <x:c r="B410" s="20"/>
      <x:c r="C410" s="21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22"/>
      <x:c r="O410" s="17"/>
    </x:row>
    <x:row r="411">
      <x:c r="A411" s="17"/>
      <x:c r="B411" s="20"/>
      <x:c r="C411" s="21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22"/>
      <x:c r="O411" s="17"/>
    </x:row>
    <x:row r="412">
      <x:c r="A412" s="17"/>
      <x:c r="B412" s="20"/>
      <x:c r="C412" s="21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22"/>
      <x:c r="O412" s="17"/>
    </x:row>
    <x:row r="413">
      <x:c r="A413" s="17"/>
      <x:c r="B413" s="20"/>
      <x:c r="C413" s="21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22"/>
      <x:c r="O413" s="17"/>
    </x:row>
    <x:row r="414">
      <x:c r="A414" s="17"/>
      <x:c r="B414" s="20"/>
      <x:c r="C414" s="21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22"/>
      <x:c r="O414" s="17"/>
    </x:row>
    <x:row r="415">
      <x:c r="A415" s="17"/>
      <x:c r="B415" s="20"/>
      <x:c r="C415" s="21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22"/>
      <x:c r="O415" s="17"/>
    </x:row>
    <x:row r="416">
      <x:c r="A416" s="17"/>
      <x:c r="B416" s="20"/>
      <x:c r="C416" s="21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22"/>
      <x:c r="O416" s="17"/>
    </x:row>
    <x:row r="417">
      <x:c r="A417" s="17"/>
      <x:c r="B417" s="20"/>
      <x:c r="C417" s="21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22"/>
      <x:c r="O417" s="17"/>
    </x:row>
    <x:row r="418">
      <x:c r="A418" s="17"/>
      <x:c r="B418" s="20"/>
      <x:c r="C418" s="21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22"/>
      <x:c r="O418" s="17"/>
    </x:row>
    <x:row r="419">
      <x:c r="A419" s="17"/>
      <x:c r="B419" s="20"/>
      <x:c r="C419" s="21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22"/>
      <x:c r="O419" s="17"/>
    </x:row>
    <x:row r="420">
      <x:c r="A420" s="17"/>
      <x:c r="B420" s="20"/>
      <x:c r="C420" s="21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22"/>
      <x:c r="O420" s="17"/>
    </x:row>
    <x:row r="421">
      <x:c r="A421" s="17"/>
      <x:c r="B421" s="20"/>
      <x:c r="C421" s="21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22"/>
      <x:c r="O421" s="17"/>
    </x:row>
    <x:row r="422">
      <x:c r="A422" s="17"/>
      <x:c r="B422" s="20"/>
      <x:c r="C422" s="21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22"/>
      <x:c r="O422" s="17"/>
    </x:row>
    <x:row r="423">
      <x:c r="A423" s="17"/>
      <x:c r="B423" s="20"/>
      <x:c r="C423" s="21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22"/>
      <x:c r="O423" s="17"/>
    </x:row>
    <x:row r="424">
      <x:c r="A424" s="17"/>
      <x:c r="B424" s="20"/>
      <x:c r="C424" s="21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22"/>
      <x:c r="O424" s="17"/>
    </x:row>
    <x:row r="425">
      <x:c r="A425" s="17"/>
      <x:c r="B425" s="20"/>
      <x:c r="C425" s="21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22"/>
      <x:c r="O425" s="17"/>
    </x:row>
    <x:row r="426">
      <x:c r="A426" s="17"/>
      <x:c r="B426" s="20"/>
      <x:c r="C426" s="21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22"/>
      <x:c r="O426" s="17"/>
    </x:row>
    <x:row r="427">
      <x:c r="A427" s="17"/>
      <x:c r="B427" s="20"/>
      <x:c r="C427" s="21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22"/>
      <x:c r="O427" s="17"/>
    </x:row>
    <x:row r="428">
      <x:c r="A428" s="17"/>
      <x:c r="B428" s="20"/>
      <x:c r="C428" s="21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22"/>
      <x:c r="O428" s="17"/>
    </x:row>
    <x:row r="429">
      <x:c r="A429" s="17"/>
      <x:c r="B429" s="20"/>
      <x:c r="C429" s="21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22"/>
      <x:c r="O429" s="17"/>
    </x:row>
    <x:row r="430">
      <x:c r="A430" s="17"/>
      <x:c r="B430" s="20"/>
      <x:c r="C430" s="21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22"/>
      <x:c r="O430" s="17"/>
    </x:row>
    <x:row r="431">
      <x:c r="A431" s="17"/>
      <x:c r="B431" s="20"/>
      <x:c r="C431" s="21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22"/>
      <x:c r="O431" s="17"/>
    </x:row>
    <x:row r="432">
      <x:c r="A432" s="17"/>
      <x:c r="B432" s="20"/>
      <x:c r="C432" s="21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22"/>
      <x:c r="O432" s="17"/>
    </x:row>
    <x:row r="433">
      <x:c r="A433" s="17"/>
      <x:c r="B433" s="20"/>
      <x:c r="C433" s="21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22"/>
      <x:c r="O433" s="17"/>
    </x:row>
    <x:row r="434">
      <x:c r="A434" s="17"/>
      <x:c r="B434" s="20"/>
      <x:c r="C434" s="21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22"/>
      <x:c r="O434" s="17"/>
    </x:row>
    <x:row r="435">
      <x:c r="A435" s="17"/>
      <x:c r="B435" s="20"/>
      <x:c r="C435" s="21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22"/>
      <x:c r="O435" s="17"/>
    </x:row>
    <x:row r="436">
      <x:c r="A436" s="17"/>
      <x:c r="B436" s="20"/>
      <x:c r="C436" s="21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22"/>
      <x:c r="O436" s="17"/>
    </x:row>
    <x:row r="437">
      <x:c r="A437" s="17"/>
      <x:c r="B437" s="20"/>
      <x:c r="C437" s="21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22"/>
      <x:c r="O437" s="17"/>
    </x:row>
    <x:row r="438">
      <x:c r="A438" s="17"/>
      <x:c r="B438" s="20"/>
      <x:c r="C438" s="21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22"/>
      <x:c r="O438" s="17"/>
    </x:row>
    <x:row r="439">
      <x:c r="A439" s="17"/>
      <x:c r="B439" s="20"/>
      <x:c r="C439" s="21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22"/>
      <x:c r="O439" s="17"/>
    </x:row>
    <x:row r="440">
      <x:c r="A440" s="17"/>
      <x:c r="B440" s="20"/>
      <x:c r="C440" s="21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22"/>
      <x:c r="O440" s="17"/>
    </x:row>
    <x:row r="441">
      <x:c r="A441" s="17"/>
      <x:c r="B441" s="20"/>
      <x:c r="C441" s="21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22"/>
      <x:c r="O441" s="17"/>
    </x:row>
    <x:row r="442">
      <x:c r="A442" s="17"/>
      <x:c r="B442" s="20"/>
      <x:c r="C442" s="21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22"/>
      <x:c r="O442" s="17"/>
    </x:row>
    <x:row r="443">
      <x:c r="A443" s="17"/>
      <x:c r="B443" s="20"/>
      <x:c r="C443" s="21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22"/>
      <x:c r="O443" s="17"/>
    </x:row>
    <x:row r="444">
      <x:c r="A444" s="17"/>
      <x:c r="B444" s="20"/>
      <x:c r="C444" s="21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22"/>
      <x:c r="O444" s="17"/>
    </x:row>
    <x:row r="445">
      <x:c r="A445" s="17"/>
      <x:c r="B445" s="20"/>
      <x:c r="C445" s="21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22"/>
      <x:c r="O445" s="17"/>
    </x:row>
    <x:row r="446">
      <x:c r="A446" s="17"/>
      <x:c r="B446" s="20"/>
      <x:c r="C446" s="21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22"/>
      <x:c r="O446" s="17"/>
    </x:row>
    <x:row r="447">
      <x:c r="A447" s="17"/>
      <x:c r="B447" s="20"/>
      <x:c r="C447" s="21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22"/>
      <x:c r="O447" s="17"/>
    </x:row>
    <x:row r="448">
      <x:c r="A448" s="17"/>
      <x:c r="B448" s="20"/>
      <x:c r="C448" s="21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22"/>
      <x:c r="O448" s="17"/>
    </x:row>
    <x:row r="449">
      <x:c r="A449" s="17"/>
      <x:c r="B449" s="20"/>
      <x:c r="C449" s="21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22"/>
      <x:c r="O449" s="17"/>
    </x:row>
    <x:row r="450">
      <x:c r="A450" s="17"/>
      <x:c r="B450" s="20"/>
      <x:c r="C450" s="21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22"/>
      <x:c r="O450" s="17"/>
    </x:row>
    <x:row r="451">
      <x:c r="A451" s="17"/>
      <x:c r="B451" s="20"/>
      <x:c r="C451" s="21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22"/>
      <x:c r="O451" s="17"/>
    </x:row>
    <x:row r="452">
      <x:c r="A452" s="17"/>
      <x:c r="B452" s="20"/>
      <x:c r="C452" s="21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22"/>
      <x:c r="O452" s="17"/>
    </x:row>
    <x:row r="453">
      <x:c r="A453" s="17"/>
      <x:c r="B453" s="20"/>
      <x:c r="C453" s="21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22"/>
      <x:c r="O453" s="17"/>
    </x:row>
    <x:row r="454">
      <x:c r="A454" s="17"/>
      <x:c r="B454" s="20"/>
      <x:c r="C454" s="21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22"/>
      <x:c r="O454" s="17"/>
    </x:row>
    <x:row r="455">
      <x:c r="A455" s="17"/>
      <x:c r="B455" s="20"/>
      <x:c r="C455" s="21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22"/>
      <x:c r="O455" s="17"/>
    </x:row>
    <x:row r="456">
      <x:c r="A456" s="17"/>
      <x:c r="B456" s="20"/>
      <x:c r="C456" s="21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22"/>
      <x:c r="O456" s="17"/>
    </x:row>
    <x:row r="457">
      <x:c r="A457" s="17"/>
      <x:c r="B457" s="20"/>
      <x:c r="C457" s="21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22"/>
      <x:c r="O457" s="17"/>
    </x:row>
    <x:row r="458">
      <x:c r="A458" s="17"/>
      <x:c r="B458" s="20"/>
      <x:c r="C458" s="21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22"/>
      <x:c r="O458" s="17"/>
    </x:row>
    <x:row r="459">
      <x:c r="A459" s="17"/>
      <x:c r="B459" s="20"/>
      <x:c r="C459" s="21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22"/>
      <x:c r="O459" s="17"/>
    </x:row>
    <x:row r="460">
      <x:c r="A460" s="17"/>
      <x:c r="B460" s="20"/>
      <x:c r="C460" s="21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22"/>
      <x:c r="O460" s="17"/>
    </x:row>
    <x:row r="461">
      <x:c r="A461" s="17"/>
      <x:c r="B461" s="20"/>
      <x:c r="C461" s="21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22"/>
      <x:c r="O461" s="17"/>
    </x:row>
    <x:row r="462">
      <x:c r="A462" s="17"/>
      <x:c r="B462" s="20"/>
      <x:c r="C462" s="21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22"/>
      <x:c r="O462" s="17"/>
    </x:row>
    <x:row r="463">
      <x:c r="A463" s="17"/>
      <x:c r="B463" s="20"/>
      <x:c r="C463" s="21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22"/>
      <x:c r="O463" s="17"/>
    </x:row>
    <x:row r="464">
      <x:c r="A464" s="17"/>
      <x:c r="B464" s="20"/>
      <x:c r="C464" s="21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22"/>
      <x:c r="O464" s="17"/>
    </x:row>
    <x:row r="465">
      <x:c r="A465" s="17"/>
      <x:c r="B465" s="20"/>
      <x:c r="C465" s="21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22"/>
      <x:c r="O465" s="17"/>
    </x:row>
    <x:row r="466">
      <x:c r="A466" s="17"/>
      <x:c r="B466" s="20"/>
      <x:c r="C466" s="21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22"/>
      <x:c r="O466" s="17"/>
    </x:row>
    <x:row r="467">
      <x:c r="A467" s="17"/>
      <x:c r="B467" s="20"/>
      <x:c r="C467" s="21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22"/>
      <x:c r="O467" s="17"/>
    </x:row>
    <x:row r="468">
      <x:c r="A468" s="17"/>
      <x:c r="B468" s="20"/>
      <x:c r="C468" s="21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22"/>
      <x:c r="O468" s="17"/>
    </x:row>
    <x:row r="469">
      <x:c r="A469" s="17"/>
      <x:c r="B469" s="20"/>
      <x:c r="C469" s="21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22"/>
      <x:c r="O469" s="17"/>
    </x:row>
    <x:row r="470">
      <x:c r="A470" s="17"/>
      <x:c r="B470" s="20"/>
      <x:c r="C470" s="21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22"/>
      <x:c r="O470" s="17"/>
    </x:row>
    <x:row r="471">
      <x:c r="A471" s="17"/>
      <x:c r="B471" s="20"/>
      <x:c r="C471" s="21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22"/>
      <x:c r="O471" s="17"/>
    </x:row>
    <x:row r="472">
      <x:c r="A472" s="17"/>
      <x:c r="B472" s="20"/>
      <x:c r="C472" s="21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22"/>
      <x:c r="O472" s="17"/>
    </x:row>
    <x:row r="473">
      <x:c r="A473" s="17"/>
      <x:c r="B473" s="20"/>
      <x:c r="C473" s="21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22"/>
      <x:c r="O473" s="17"/>
    </x:row>
    <x:row r="474">
      <x:c r="A474" s="17"/>
      <x:c r="B474" s="20"/>
      <x:c r="C474" s="21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22"/>
      <x:c r="O474" s="17"/>
    </x:row>
    <x:row r="475">
      <x:c r="A475" s="17"/>
      <x:c r="B475" s="20"/>
      <x:c r="C475" s="21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22"/>
      <x:c r="O475" s="17"/>
    </x:row>
    <x:row r="476">
      <x:c r="A476" s="17"/>
      <x:c r="B476" s="20"/>
      <x:c r="C476" s="21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22"/>
      <x:c r="O476" s="17"/>
    </x:row>
    <x:row r="477">
      <x:c r="A477" s="17"/>
      <x:c r="B477" s="20"/>
      <x:c r="C477" s="21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22"/>
      <x:c r="O477" s="17"/>
    </x:row>
    <x:row r="478">
      <x:c r="A478" s="17"/>
      <x:c r="B478" s="20"/>
      <x:c r="C478" s="21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22"/>
      <x:c r="O478" s="17"/>
    </x:row>
    <x:row r="479">
      <x:c r="A479" s="17"/>
      <x:c r="B479" s="20"/>
      <x:c r="C479" s="21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22"/>
      <x:c r="O479" s="17"/>
    </x:row>
    <x:row r="480">
      <x:c r="A480" s="17"/>
      <x:c r="B480" s="20"/>
      <x:c r="C480" s="21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22"/>
      <x:c r="O480" s="17"/>
    </x:row>
    <x:row r="481">
      <x:c r="A481" s="17"/>
      <x:c r="B481" s="20"/>
      <x:c r="C481" s="21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22"/>
      <x:c r="O481" s="17"/>
    </x:row>
    <x:row r="482">
      <x:c r="A482" s="17"/>
      <x:c r="B482" s="20"/>
      <x:c r="C482" s="21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22"/>
      <x:c r="O482" s="17"/>
    </x:row>
    <x:row r="483">
      <x:c r="A483" s="17"/>
      <x:c r="B483" s="20"/>
      <x:c r="C483" s="21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22"/>
      <x:c r="O483" s="17"/>
    </x:row>
    <x:row r="484">
      <x:c r="A484" s="17"/>
      <x:c r="B484" s="20"/>
      <x:c r="C484" s="21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22"/>
      <x:c r="O484" s="17"/>
    </x:row>
    <x:row r="485">
      <x:c r="A485" s="17"/>
      <x:c r="B485" s="20"/>
      <x:c r="C485" s="21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22"/>
      <x:c r="O485" s="17"/>
    </x:row>
    <x:row r="486">
      <x:c r="A486" s="17"/>
      <x:c r="B486" s="20"/>
      <x:c r="C486" s="21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22"/>
      <x:c r="O486" s="17"/>
    </x:row>
    <x:row r="487">
      <x:c r="A487" s="17"/>
      <x:c r="B487" s="20"/>
      <x:c r="C487" s="21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22"/>
      <x:c r="O487" s="17"/>
    </x:row>
    <x:row r="488">
      <x:c r="A488" s="17"/>
      <x:c r="B488" s="20"/>
      <x:c r="C488" s="21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22"/>
      <x:c r="O488" s="17"/>
    </x:row>
    <x:row r="489">
      <x:c r="A489" s="17"/>
      <x:c r="B489" s="20"/>
      <x:c r="C489" s="21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22"/>
      <x:c r="O489" s="17"/>
    </x:row>
    <x:row r="490">
      <x:c r="A490" s="17"/>
      <x:c r="B490" s="20"/>
      <x:c r="C490" s="21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22"/>
      <x:c r="O490" s="17"/>
    </x:row>
    <x:row r="491">
      <x:c r="A491" s="17"/>
      <x:c r="B491" s="20"/>
      <x:c r="C491" s="21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22"/>
      <x:c r="O491" s="17"/>
    </x:row>
    <x:row r="492">
      <x:c r="A492" s="17"/>
      <x:c r="B492" s="20"/>
      <x:c r="C492" s="21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22"/>
      <x:c r="O492" s="17"/>
    </x:row>
    <x:row r="493">
      <x:c r="A493" s="17"/>
      <x:c r="B493" s="20"/>
      <x:c r="C493" s="21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22"/>
      <x:c r="O493" s="17"/>
    </x:row>
    <x:row r="494">
      <x:c r="A494" s="17"/>
      <x:c r="B494" s="20"/>
      <x:c r="C494" s="21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22"/>
      <x:c r="O494" s="17"/>
    </x:row>
    <x:row r="495">
      <x:c r="A495" s="17"/>
      <x:c r="B495" s="20"/>
      <x:c r="C495" s="21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22"/>
      <x:c r="O495" s="17"/>
    </x:row>
    <x:row r="496">
      <x:c r="A496" s="17"/>
      <x:c r="B496" s="20"/>
      <x:c r="C496" s="21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22"/>
      <x:c r="O496" s="17"/>
    </x:row>
    <x:row r="497">
      <x:c r="A497" s="17"/>
      <x:c r="B497" s="20"/>
      <x:c r="C497" s="21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22"/>
      <x:c r="O497" s="17"/>
    </x:row>
    <x:row r="498">
      <x:c r="A498" s="17"/>
      <x:c r="B498" s="20"/>
      <x:c r="C498" s="21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22"/>
      <x:c r="O498" s="17"/>
    </x:row>
    <x:row r="499">
      <x:c r="A499" s="17"/>
      <x:c r="B499" s="20"/>
      <x:c r="C499" s="21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22"/>
      <x:c r="O499" s="17"/>
    </x:row>
    <x:row r="500">
      <x:c r="A500" s="17"/>
      <x:c r="B500" s="20"/>
      <x:c r="C500" s="21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22"/>
      <x:c r="O500" s="17"/>
    </x:row>
    <x:row r="501">
      <x:c r="A501" s="17"/>
      <x:c r="B501" s="20"/>
      <x:c r="C501" s="21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22"/>
      <x:c r="O501" s="17"/>
    </x:row>
    <x:row r="502">
      <x:c r="A502" s="17"/>
      <x:c r="B502" s="20"/>
      <x:c r="C502" s="21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22"/>
      <x:c r="O502" s="17"/>
    </x:row>
    <x:row r="503">
      <x:c r="A503" s="17"/>
      <x:c r="B503" s="20"/>
      <x:c r="C503" s="21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22"/>
      <x:c r="O503" s="17"/>
    </x:row>
    <x:row r="504">
      <x:c r="A504" s="17"/>
      <x:c r="B504" s="20"/>
      <x:c r="C504" s="21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22"/>
      <x:c r="O504" s="17"/>
    </x:row>
    <x:row r="505">
      <x:c r="A505" s="17"/>
      <x:c r="B505" s="20"/>
      <x:c r="C505" s="21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22"/>
      <x:c r="O505" s="17"/>
    </x:row>
    <x:row r="506">
      <x:c r="A506" s="17"/>
      <x:c r="B506" s="20"/>
      <x:c r="C506" s="21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22"/>
      <x:c r="O506" s="17"/>
    </x:row>
    <x:row r="507">
      <x:c r="A507" s="17"/>
      <x:c r="B507" s="20"/>
      <x:c r="C507" s="21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22"/>
      <x:c r="O507" s="17"/>
    </x:row>
    <x:row r="508">
      <x:c r="A508" s="17"/>
      <x:c r="B508" s="20"/>
      <x:c r="C508" s="21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22"/>
      <x:c r="O508" s="17"/>
    </x:row>
    <x:row r="509">
      <x:c r="A509" s="17"/>
      <x:c r="B509" s="20"/>
      <x:c r="C509" s="21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22"/>
      <x:c r="O509" s="17"/>
    </x:row>
    <x:row r="510">
      <x:c r="A510" s="17"/>
      <x:c r="B510" s="20"/>
      <x:c r="C510" s="21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22"/>
      <x:c r="O510" s="17"/>
    </x:row>
    <x:row r="511">
      <x:c r="A511" s="17"/>
      <x:c r="B511" s="20"/>
      <x:c r="C511" s="21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22"/>
      <x:c r="O511" s="17"/>
    </x:row>
    <x:row r="512">
      <x:c r="A512" s="17"/>
      <x:c r="B512" s="20"/>
      <x:c r="C512" s="21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22"/>
      <x:c r="O512" s="17"/>
    </x:row>
    <x:row r="513">
      <x:c r="A513" s="17"/>
      <x:c r="B513" s="20"/>
      <x:c r="C513" s="21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22"/>
      <x:c r="O513" s="17"/>
    </x:row>
    <x:row r="514">
      <x:c r="A514" s="17"/>
      <x:c r="B514" s="20"/>
      <x:c r="C514" s="21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22"/>
      <x:c r="O514" s="17"/>
    </x:row>
    <x:row r="515">
      <x:c r="A515" s="17"/>
      <x:c r="B515" s="20"/>
      <x:c r="C515" s="21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22"/>
      <x:c r="O515" s="17"/>
    </x:row>
    <x:row r="516">
      <x:c r="A516" s="17"/>
      <x:c r="B516" s="20"/>
      <x:c r="C516" s="21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22"/>
      <x:c r="O516" s="17"/>
    </x:row>
    <x:row r="517">
      <x:c r="A517" s="17"/>
      <x:c r="B517" s="20"/>
      <x:c r="C517" s="21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22"/>
      <x:c r="O517" s="17"/>
    </x:row>
    <x:row r="518">
      <x:c r="A518" s="17"/>
      <x:c r="B518" s="20"/>
      <x:c r="C518" s="21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22"/>
      <x:c r="O518" s="17"/>
    </x:row>
    <x:row r="519">
      <x:c r="A519" s="17"/>
      <x:c r="B519" s="20"/>
      <x:c r="C519" s="21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22"/>
      <x:c r="O519" s="17"/>
    </x:row>
    <x:row r="520">
      <x:c r="A520" s="17"/>
      <x:c r="B520" s="20"/>
      <x:c r="C520" s="21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22"/>
      <x:c r="O520" s="17"/>
    </x:row>
    <x:row r="521">
      <x:c r="A521" s="17"/>
      <x:c r="B521" s="20"/>
      <x:c r="C521" s="21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22"/>
      <x:c r="O521" s="17"/>
    </x:row>
    <x:row r="522">
      <x:c r="A522" s="17"/>
      <x:c r="B522" s="20"/>
      <x:c r="C522" s="21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22"/>
      <x:c r="O522" s="17"/>
    </x:row>
    <x:row r="523">
      <x:c r="A523" s="17"/>
      <x:c r="B523" s="20"/>
      <x:c r="C523" s="21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22"/>
      <x:c r="O523" s="17"/>
    </x:row>
    <x:row r="524">
      <x:c r="A524" s="17"/>
      <x:c r="B524" s="20"/>
      <x:c r="C524" s="21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22"/>
      <x:c r="O524" s="17"/>
    </x:row>
    <x:row r="525">
      <x:c r="A525" s="17"/>
      <x:c r="B525" s="20"/>
      <x:c r="C525" s="21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22"/>
      <x:c r="O525" s="17"/>
    </x:row>
    <x:row r="526">
      <x:c r="A526" s="17"/>
      <x:c r="B526" s="20"/>
      <x:c r="C526" s="21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22"/>
      <x:c r="O526" s="17"/>
    </x:row>
    <x:row r="527">
      <x:c r="A527" s="17"/>
      <x:c r="B527" s="20"/>
      <x:c r="C527" s="21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22"/>
      <x:c r="O527" s="17"/>
    </x:row>
    <x:row r="528">
      <x:c r="A528" s="17"/>
      <x:c r="B528" s="20"/>
      <x:c r="C528" s="21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22"/>
      <x:c r="O528" s="17"/>
    </x:row>
    <x:row r="529">
      <x:c r="A529" s="17"/>
      <x:c r="B529" s="20"/>
      <x:c r="C529" s="21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22"/>
      <x:c r="O529" s="17"/>
    </x:row>
    <x:row r="530">
      <x:c r="A530" s="17"/>
      <x:c r="B530" s="20"/>
      <x:c r="C530" s="21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22"/>
      <x:c r="O530" s="17"/>
    </x:row>
    <x:row r="531">
      <x:c r="A531" s="17"/>
      <x:c r="B531" s="20"/>
      <x:c r="C531" s="21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22"/>
      <x:c r="O531" s="17"/>
    </x:row>
    <x:row r="532">
      <x:c r="A532" s="17"/>
      <x:c r="B532" s="20"/>
      <x:c r="C532" s="21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22"/>
      <x:c r="O532" s="17"/>
    </x:row>
    <x:row r="533">
      <x:c r="A533" s="17"/>
      <x:c r="B533" s="20"/>
      <x:c r="C533" s="21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22"/>
      <x:c r="O533" s="17"/>
    </x:row>
    <x:row r="534">
      <x:c r="A534" s="17"/>
      <x:c r="B534" s="20"/>
      <x:c r="C534" s="21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22"/>
      <x:c r="O534" s="17"/>
    </x:row>
    <x:row r="535">
      <x:c r="A535" s="17"/>
      <x:c r="B535" s="20"/>
      <x:c r="C535" s="21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22"/>
      <x:c r="O535" s="17"/>
    </x:row>
    <x:row r="536">
      <x:c r="A536" s="17"/>
      <x:c r="B536" s="20"/>
      <x:c r="C536" s="21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22"/>
      <x:c r="O536" s="17"/>
    </x:row>
    <x:row r="537">
      <x:c r="A537" s="17"/>
      <x:c r="B537" s="20"/>
      <x:c r="C537" s="21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22"/>
      <x:c r="O537" s="17"/>
    </x:row>
    <x:row r="538">
      <x:c r="A538" s="17"/>
      <x:c r="B538" s="20"/>
      <x:c r="C538" s="21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22"/>
      <x:c r="O538" s="17"/>
    </x:row>
    <x:row r="539">
      <x:c r="A539" s="17"/>
      <x:c r="B539" s="20"/>
      <x:c r="C539" s="21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22"/>
      <x:c r="O539" s="17"/>
    </x:row>
    <x:row r="540">
      <x:c r="A540" s="17"/>
      <x:c r="B540" s="20"/>
      <x:c r="C540" s="21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22"/>
      <x:c r="O540" s="17"/>
    </x:row>
    <x:row r="541">
      <x:c r="A541" s="17"/>
      <x:c r="B541" s="20"/>
      <x:c r="C541" s="21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22"/>
      <x:c r="O541" s="17"/>
    </x:row>
    <x:row r="542">
      <x:c r="A542" s="17"/>
      <x:c r="B542" s="20"/>
      <x:c r="C542" s="21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22"/>
      <x:c r="O542" s="17"/>
    </x:row>
    <x:row r="543">
      <x:c r="A543" s="17"/>
      <x:c r="B543" s="20"/>
      <x:c r="C543" s="21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22"/>
      <x:c r="O543" s="17"/>
    </x:row>
    <x:row r="544">
      <x:c r="A544" s="17"/>
      <x:c r="B544" s="20"/>
      <x:c r="C544" s="21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22"/>
      <x:c r="O544" s="17"/>
    </x:row>
    <x:row r="545">
      <x:c r="A545" s="17"/>
      <x:c r="B545" s="20"/>
      <x:c r="C545" s="21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22"/>
      <x:c r="O545" s="17"/>
    </x:row>
    <x:row r="546">
      <x:c r="A546" s="17"/>
      <x:c r="B546" s="20"/>
      <x:c r="C546" s="21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22"/>
      <x:c r="O546" s="17"/>
    </x:row>
    <x:row r="547">
      <x:c r="A547" s="17"/>
      <x:c r="B547" s="20"/>
      <x:c r="C547" s="21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22"/>
      <x:c r="O547" s="17"/>
    </x:row>
    <x:row r="548">
      <x:c r="A548" s="17"/>
      <x:c r="B548" s="20"/>
      <x:c r="C548" s="21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22"/>
      <x:c r="O548" s="17"/>
    </x:row>
    <x:row r="549">
      <x:c r="A549" s="17"/>
      <x:c r="B549" s="20"/>
      <x:c r="C549" s="21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22"/>
      <x:c r="O549" s="17"/>
    </x:row>
    <x:row r="550">
      <x:c r="A550" s="17"/>
      <x:c r="B550" s="20"/>
      <x:c r="C550" s="21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22"/>
      <x:c r="O550" s="17"/>
    </x:row>
    <x:row r="551">
      <x:c r="A551" s="17"/>
      <x:c r="B551" s="20"/>
      <x:c r="C551" s="21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22"/>
      <x:c r="O551" s="17"/>
    </x:row>
    <x:row r="552">
      <x:c r="A552" s="17"/>
      <x:c r="B552" s="20"/>
      <x:c r="C552" s="21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22"/>
      <x:c r="O552" s="17"/>
    </x:row>
    <x:row r="553">
      <x:c r="A553" s="17"/>
      <x:c r="B553" s="20"/>
      <x:c r="C553" s="21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22"/>
      <x:c r="O553" s="17"/>
    </x:row>
    <x:row r="554">
      <x:c r="A554" s="17"/>
      <x:c r="B554" s="20"/>
      <x:c r="C554" s="21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22"/>
      <x:c r="O554" s="17"/>
    </x:row>
    <x:row r="555">
      <x:c r="A555" s="17"/>
      <x:c r="B555" s="20"/>
      <x:c r="C555" s="21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22"/>
      <x:c r="O555" s="17"/>
    </x:row>
    <x:row r="556">
      <x:c r="A556" s="17"/>
      <x:c r="B556" s="20"/>
      <x:c r="C556" s="21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22"/>
      <x:c r="O556" s="17"/>
    </x:row>
    <x:row r="557">
      <x:c r="A557" s="17"/>
      <x:c r="B557" s="20"/>
      <x:c r="C557" s="21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22"/>
      <x:c r="O557" s="17"/>
    </x:row>
    <x:row r="558">
      <x:c r="A558" s="17"/>
      <x:c r="B558" s="20"/>
      <x:c r="C558" s="21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22"/>
      <x:c r="O558" s="17"/>
    </x:row>
    <x:row r="559">
      <x:c r="A559" s="17"/>
      <x:c r="B559" s="20"/>
      <x:c r="C559" s="21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22"/>
      <x:c r="O559" s="17"/>
    </x:row>
    <x:row r="560">
      <x:c r="A560" s="17"/>
      <x:c r="B560" s="20"/>
      <x:c r="C560" s="21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22"/>
      <x:c r="O560" s="17"/>
    </x:row>
    <x:row r="561">
      <x:c r="A561" s="17"/>
      <x:c r="B561" s="20"/>
      <x:c r="C561" s="21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22"/>
      <x:c r="O561" s="17"/>
    </x:row>
    <x:row r="562">
      <x:c r="A562" s="17"/>
      <x:c r="B562" s="20"/>
      <x:c r="C562" s="21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22"/>
      <x:c r="O562" s="17"/>
    </x:row>
    <x:row r="563">
      <x:c r="A563" s="17"/>
      <x:c r="B563" s="20"/>
      <x:c r="C563" s="21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22"/>
      <x:c r="O563" s="17"/>
    </x:row>
    <x:row r="564">
      <x:c r="A564" s="17"/>
      <x:c r="B564" s="20"/>
      <x:c r="C564" s="21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22"/>
      <x:c r="O564" s="17"/>
    </x:row>
    <x:row r="565">
      <x:c r="A565" s="17"/>
      <x:c r="B565" s="20"/>
      <x:c r="C565" s="21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22"/>
      <x:c r="O565" s="17"/>
    </x:row>
    <x:row r="566">
      <x:c r="A566" s="17"/>
      <x:c r="B566" s="20"/>
      <x:c r="C566" s="21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22"/>
      <x:c r="O566" s="17"/>
    </x:row>
    <x:row r="567">
      <x:c r="A567" s="17"/>
      <x:c r="B567" s="20"/>
      <x:c r="C567" s="21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22"/>
      <x:c r="O567" s="17"/>
    </x:row>
    <x:row r="568">
      <x:c r="A568" s="17"/>
      <x:c r="B568" s="20"/>
      <x:c r="C568" s="21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22"/>
      <x:c r="O568" s="17"/>
    </x:row>
    <x:row r="569">
      <x:c r="A569" s="17"/>
      <x:c r="B569" s="20"/>
      <x:c r="C569" s="21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22"/>
      <x:c r="O569" s="17"/>
    </x:row>
    <x:row r="570">
      <x:c r="A570" s="17"/>
      <x:c r="B570" s="20"/>
      <x:c r="C570" s="21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22"/>
      <x:c r="O570" s="17"/>
    </x:row>
    <x:row r="571">
      <x:c r="A571" s="17"/>
      <x:c r="B571" s="20"/>
      <x:c r="C571" s="21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22"/>
      <x:c r="O571" s="17"/>
    </x:row>
    <x:row r="572">
      <x:c r="A572" s="17"/>
      <x:c r="B572" s="20"/>
      <x:c r="C572" s="21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22"/>
      <x:c r="O572" s="17"/>
    </x:row>
    <x:row r="573">
      <x:c r="A573" s="17"/>
      <x:c r="B573" s="20"/>
      <x:c r="C573" s="21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22"/>
      <x:c r="O573" s="17"/>
    </x:row>
    <x:row r="574">
      <x:c r="A574" s="17"/>
      <x:c r="B574" s="20"/>
      <x:c r="C574" s="21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22"/>
      <x:c r="O574" s="17"/>
    </x:row>
    <x:row r="575">
      <x:c r="A575" s="17"/>
      <x:c r="B575" s="20"/>
      <x:c r="C575" s="21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22"/>
      <x:c r="O575" s="17"/>
    </x:row>
    <x:row r="576">
      <x:c r="A576" s="17"/>
      <x:c r="B576" s="20"/>
      <x:c r="C576" s="21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22"/>
      <x:c r="O576" s="17"/>
    </x:row>
    <x:row r="577">
      <x:c r="A577" s="17"/>
      <x:c r="B577" s="20"/>
      <x:c r="C577" s="21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22"/>
      <x:c r="O577" s="17"/>
    </x:row>
    <x:row r="578">
      <x:c r="A578" s="17"/>
      <x:c r="B578" s="20"/>
      <x:c r="C578" s="21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22"/>
      <x:c r="O578" s="17"/>
    </x:row>
    <x:row r="579">
      <x:c r="A579" s="17"/>
      <x:c r="B579" s="20"/>
      <x:c r="C579" s="21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22"/>
      <x:c r="O579" s="17"/>
    </x:row>
    <x:row r="580">
      <x:c r="A580" s="17"/>
      <x:c r="B580" s="20"/>
      <x:c r="C580" s="21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22"/>
      <x:c r="O580" s="17"/>
    </x:row>
    <x:row r="581">
      <x:c r="A581" s="17"/>
      <x:c r="B581" s="20"/>
      <x:c r="C581" s="21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22"/>
      <x:c r="O581" s="17"/>
    </x:row>
    <x:row r="582">
      <x:c r="A582" s="17"/>
      <x:c r="B582" s="20"/>
      <x:c r="C582" s="21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22"/>
      <x:c r="O582" s="17"/>
    </x:row>
    <x:row r="583">
      <x:c r="A583" s="17"/>
      <x:c r="B583" s="20"/>
      <x:c r="C583" s="21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22"/>
      <x:c r="O583" s="17"/>
    </x:row>
    <x:row r="584">
      <x:c r="A584" s="17"/>
      <x:c r="B584" s="20"/>
      <x:c r="C584" s="21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22"/>
      <x:c r="O584" s="17"/>
    </x:row>
    <x:row r="585">
      <x:c r="A585" s="17"/>
      <x:c r="B585" s="20"/>
      <x:c r="C585" s="21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22"/>
      <x:c r="O585" s="17"/>
    </x:row>
    <x:row r="586">
      <x:c r="A586" s="17"/>
      <x:c r="B586" s="20"/>
      <x:c r="C586" s="21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22"/>
      <x:c r="O586" s="17"/>
    </x:row>
    <x:row r="587">
      <x:c r="A587" s="17"/>
      <x:c r="B587" s="20"/>
      <x:c r="C587" s="21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22"/>
      <x:c r="O587" s="17"/>
    </x:row>
    <x:row r="588">
      <x:c r="A588" s="17"/>
      <x:c r="B588" s="20"/>
      <x:c r="C588" s="21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22"/>
      <x:c r="O588" s="17"/>
    </x:row>
    <x:row r="589">
      <x:c r="A589" s="17"/>
      <x:c r="B589" s="20"/>
      <x:c r="C589" s="21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22"/>
      <x:c r="O589" s="17"/>
    </x:row>
    <x:row r="590">
      <x:c r="A590" s="17"/>
      <x:c r="B590" s="20"/>
      <x:c r="C590" s="21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22"/>
      <x:c r="O590" s="17"/>
    </x:row>
    <x:row r="591">
      <x:c r="A591" s="17"/>
      <x:c r="B591" s="20"/>
      <x:c r="C591" s="21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22"/>
      <x:c r="O591" s="17"/>
    </x:row>
    <x:row r="592">
      <x:c r="A592" s="17"/>
      <x:c r="B592" s="20"/>
      <x:c r="C592" s="21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22"/>
      <x:c r="O592" s="17"/>
    </x:row>
    <x:row r="593">
      <x:c r="A593" s="17"/>
      <x:c r="B593" s="20"/>
      <x:c r="C593" s="21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22"/>
      <x:c r="O593" s="17"/>
    </x:row>
    <x:row r="594">
      <x:c r="A594" s="17"/>
      <x:c r="B594" s="20"/>
      <x:c r="C594" s="21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22"/>
      <x:c r="O594" s="17"/>
    </x:row>
    <x:row r="595">
      <x:c r="A595" s="17"/>
      <x:c r="B595" s="20"/>
      <x:c r="C595" s="21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22"/>
      <x:c r="O595" s="17"/>
    </x:row>
    <x:row r="596">
      <x:c r="A596" s="17"/>
      <x:c r="B596" s="20"/>
      <x:c r="C596" s="21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22"/>
      <x:c r="O596" s="17"/>
    </x:row>
    <x:row r="597">
      <x:c r="A597" s="17"/>
      <x:c r="B597" s="20"/>
      <x:c r="C597" s="21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22"/>
      <x:c r="O597" s="17"/>
    </x:row>
    <x:row r="598">
      <x:c r="A598" s="17"/>
      <x:c r="B598" s="20"/>
      <x:c r="C598" s="21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22"/>
      <x:c r="O598" s="17"/>
    </x:row>
    <x:row r="599">
      <x:c r="A599" s="17"/>
      <x:c r="B599" s="20"/>
      <x:c r="C599" s="21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22"/>
      <x:c r="O599" s="17"/>
    </x:row>
    <x:row r="600">
      <x:c r="A600" s="17"/>
      <x:c r="B600" s="20"/>
      <x:c r="C600" s="21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22"/>
      <x:c r="O600" s="17"/>
    </x:row>
    <x:row r="601">
      <x:c r="A601" s="17"/>
      <x:c r="B601" s="20"/>
      <x:c r="C601" s="21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22"/>
      <x:c r="O601" s="17"/>
    </x:row>
    <x:row r="602">
      <x:c r="A602" s="17"/>
      <x:c r="B602" s="20"/>
      <x:c r="C602" s="21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22"/>
      <x:c r="O602" s="17"/>
    </x:row>
    <x:row r="603">
      <x:c r="A603" s="17"/>
      <x:c r="B603" s="20"/>
      <x:c r="C603" s="21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22"/>
      <x:c r="O603" s="17"/>
    </x:row>
    <x:row r="604">
      <x:c r="A604" s="17"/>
      <x:c r="B604" s="20"/>
      <x:c r="C604" s="21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22"/>
      <x:c r="O604" s="17"/>
    </x:row>
    <x:row r="605">
      <x:c r="A605" s="17"/>
      <x:c r="B605" s="20"/>
      <x:c r="C605" s="21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22"/>
      <x:c r="O605" s="17"/>
    </x:row>
    <x:row r="606">
      <x:c r="A606" s="17"/>
      <x:c r="B606" s="20"/>
      <x:c r="C606" s="21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22"/>
      <x:c r="O606" s="17"/>
    </x:row>
    <x:row r="607">
      <x:c r="A607" s="17"/>
      <x:c r="B607" s="20"/>
      <x:c r="C607" s="21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22"/>
      <x:c r="O607" s="17"/>
    </x:row>
    <x:row r="608">
      <x:c r="A608" s="17"/>
      <x:c r="B608" s="20"/>
      <x:c r="C608" s="21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22"/>
      <x:c r="O608" s="17"/>
    </x:row>
    <x:row r="609">
      <x:c r="A609" s="17"/>
      <x:c r="B609" s="20"/>
      <x:c r="C609" s="21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22"/>
      <x:c r="O609" s="17"/>
    </x:row>
    <x:row r="610">
      <x:c r="A610" s="17"/>
      <x:c r="B610" s="20"/>
      <x:c r="C610" s="21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22"/>
      <x:c r="O610" s="17"/>
    </x:row>
    <x:row r="611">
      <x:c r="A611" s="17"/>
      <x:c r="B611" s="20"/>
      <x:c r="C611" s="21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22"/>
      <x:c r="O611" s="17"/>
    </x:row>
    <x:row r="612">
      <x:c r="A612" s="17"/>
      <x:c r="B612" s="20"/>
      <x:c r="C612" s="21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22"/>
      <x:c r="O612" s="17"/>
    </x:row>
    <x:row r="613">
      <x:c r="A613" s="17"/>
      <x:c r="B613" s="20"/>
      <x:c r="C613" s="21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22"/>
      <x:c r="O613" s="17"/>
    </x:row>
    <x:row r="614">
      <x:c r="A614" s="17"/>
      <x:c r="B614" s="20"/>
      <x:c r="C614" s="21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22"/>
      <x:c r="O614" s="17"/>
    </x:row>
    <x:row r="615">
      <x:c r="A615" s="17"/>
      <x:c r="B615" s="20"/>
      <x:c r="C615" s="21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22"/>
      <x:c r="O615" s="17"/>
    </x:row>
    <x:row r="616">
      <x:c r="A616" s="17"/>
      <x:c r="B616" s="20"/>
      <x:c r="C616" s="21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22"/>
      <x:c r="O616" s="17"/>
    </x:row>
    <x:row r="617">
      <x:c r="A617" s="17"/>
      <x:c r="B617" s="20"/>
      <x:c r="C617" s="21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22"/>
      <x:c r="O617" s="17"/>
    </x:row>
    <x:row r="618">
      <x:c r="A618" s="17"/>
      <x:c r="B618" s="20"/>
      <x:c r="C618" s="21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22"/>
      <x:c r="O618" s="17"/>
    </x:row>
    <x:row r="619">
      <x:c r="A619" s="17"/>
      <x:c r="B619" s="20"/>
      <x:c r="C619" s="21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22"/>
      <x:c r="O619" s="17"/>
    </x:row>
    <x:row r="620">
      <x:c r="A620" s="17"/>
      <x:c r="B620" s="20"/>
      <x:c r="C620" s="21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22"/>
      <x:c r="O620" s="17"/>
    </x:row>
    <x:row r="621">
      <x:c r="A621" s="17"/>
      <x:c r="B621" s="20"/>
      <x:c r="C621" s="21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22"/>
      <x:c r="O621" s="17"/>
    </x:row>
    <x:row r="622">
      <x:c r="A622" s="17"/>
      <x:c r="B622" s="20"/>
      <x:c r="C622" s="21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22"/>
      <x:c r="O622" s="17"/>
    </x:row>
    <x:row r="623">
      <x:c r="A623" s="17"/>
      <x:c r="B623" s="20"/>
      <x:c r="C623" s="21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22"/>
      <x:c r="O623" s="17"/>
    </x:row>
    <x:row r="624">
      <x:c r="A624" s="17"/>
      <x:c r="B624" s="20"/>
      <x:c r="C624" s="21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22"/>
      <x:c r="O624" s="17"/>
    </x:row>
    <x:row r="625">
      <x:c r="A625" s="17"/>
      <x:c r="B625" s="20"/>
      <x:c r="C625" s="21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22"/>
      <x:c r="O625" s="17"/>
    </x:row>
    <x:row r="626">
      <x:c r="A626" s="17"/>
      <x:c r="B626" s="20"/>
      <x:c r="C626" s="21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22"/>
      <x:c r="O626" s="17"/>
    </x:row>
    <x:row r="627">
      <x:c r="A627" s="17"/>
      <x:c r="B627" s="20"/>
      <x:c r="C627" s="21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22"/>
      <x:c r="O627" s="17"/>
    </x:row>
    <x:row r="628">
      <x:c r="A628" s="17"/>
      <x:c r="B628" s="20"/>
      <x:c r="C628" s="21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22"/>
      <x:c r="O628" s="17"/>
    </x:row>
    <x:row r="629">
      <x:c r="A629" s="17"/>
      <x:c r="B629" s="20"/>
      <x:c r="C629" s="21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22"/>
      <x:c r="O629" s="17"/>
    </x:row>
    <x:row r="630">
      <x:c r="A630" s="17"/>
      <x:c r="B630" s="20"/>
      <x:c r="C630" s="21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22"/>
      <x:c r="O630" s="17"/>
    </x:row>
    <x:row r="631">
      <x:c r="A631" s="17"/>
      <x:c r="B631" s="20"/>
      <x:c r="C631" s="21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22"/>
      <x:c r="O631" s="17"/>
    </x:row>
    <x:row r="632">
      <x:c r="A632" s="17"/>
      <x:c r="B632" s="20"/>
      <x:c r="C632" s="21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22"/>
      <x:c r="O632" s="17"/>
    </x:row>
    <x:row r="633">
      <x:c r="A633" s="17"/>
      <x:c r="B633" s="20"/>
      <x:c r="C633" s="21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22"/>
      <x:c r="O633" s="17"/>
    </x:row>
    <x:row r="634">
      <x:c r="A634" s="17"/>
      <x:c r="B634" s="20"/>
      <x:c r="C634" s="21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22"/>
      <x:c r="O634" s="17"/>
    </x:row>
    <x:row r="635">
      <x:c r="A635" s="17"/>
      <x:c r="B635" s="20"/>
      <x:c r="C635" s="21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22"/>
      <x:c r="O635" s="17"/>
    </x:row>
    <x:row r="636">
      <x:c r="A636" s="17"/>
      <x:c r="B636" s="20"/>
      <x:c r="C636" s="21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22"/>
      <x:c r="O636" s="17"/>
    </x:row>
    <x:row r="637">
      <x:c r="A637" s="17"/>
      <x:c r="B637" s="20"/>
      <x:c r="C637" s="21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22"/>
      <x:c r="O637" s="17"/>
    </x:row>
    <x:row r="638">
      <x:c r="A638" s="17"/>
      <x:c r="B638" s="20"/>
      <x:c r="C638" s="21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22"/>
      <x:c r="O638" s="17"/>
    </x:row>
    <x:row r="639">
      <x:c r="A639" s="17"/>
      <x:c r="B639" s="20"/>
      <x:c r="C639" s="21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22"/>
      <x:c r="O639" s="17"/>
    </x:row>
    <x:row r="640">
      <x:c r="A640" s="17"/>
      <x:c r="B640" s="20"/>
      <x:c r="C640" s="21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22"/>
      <x:c r="O640" s="17"/>
    </x:row>
    <x:row r="641">
      <x:c r="A641" s="17"/>
      <x:c r="B641" s="20"/>
      <x:c r="C641" s="21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22"/>
      <x:c r="O641" s="17"/>
    </x:row>
    <x:row r="642">
      <x:c r="A642" s="17"/>
      <x:c r="B642" s="20"/>
      <x:c r="C642" s="21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22"/>
      <x:c r="O642" s="17"/>
    </x:row>
    <x:row r="643">
      <x:c r="A643" s="17"/>
      <x:c r="B643" s="20"/>
      <x:c r="C643" s="21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22"/>
      <x:c r="O643" s="17"/>
    </x:row>
    <x:row r="644">
      <x:c r="A644" s="17"/>
      <x:c r="B644" s="20"/>
      <x:c r="C644" s="21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22"/>
      <x:c r="O644" s="17"/>
    </x:row>
    <x:row r="645">
      <x:c r="A645" s="17"/>
      <x:c r="B645" s="20"/>
      <x:c r="C645" s="21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22"/>
      <x:c r="O645" s="17"/>
    </x:row>
    <x:row r="646">
      <x:c r="A646" s="17"/>
      <x:c r="B646" s="20"/>
      <x:c r="C646" s="21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22"/>
      <x:c r="O646" s="17"/>
    </x:row>
    <x:row r="647">
      <x:c r="A647" s="17"/>
      <x:c r="B647" s="20"/>
      <x:c r="C647" s="21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22"/>
      <x:c r="O647" s="17"/>
    </x:row>
    <x:row r="648">
      <x:c r="A648" s="17"/>
      <x:c r="B648" s="20"/>
      <x:c r="C648" s="21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22"/>
      <x:c r="O648" s="17"/>
    </x:row>
    <x:row r="649">
      <x:c r="A649" s="17"/>
      <x:c r="B649" s="20"/>
      <x:c r="C649" s="21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22"/>
      <x:c r="O649" s="17"/>
    </x:row>
    <x:row r="650">
      <x:c r="A650" s="17"/>
      <x:c r="B650" s="20"/>
      <x:c r="C650" s="21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22"/>
      <x:c r="O650" s="17"/>
    </x:row>
    <x:row r="651">
      <x:c r="A651" s="17"/>
      <x:c r="B651" s="20"/>
      <x:c r="C651" s="21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22"/>
      <x:c r="O651" s="17"/>
    </x:row>
    <x:row r="652">
      <x:c r="A652" s="17"/>
      <x:c r="B652" s="20"/>
      <x:c r="C652" s="21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22"/>
      <x:c r="O652" s="17"/>
    </x:row>
    <x:row r="653">
      <x:c r="A653" s="17"/>
      <x:c r="B653" s="20"/>
      <x:c r="C653" s="21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22"/>
      <x:c r="O653" s="17"/>
    </x:row>
    <x:row r="654">
      <x:c r="A654" s="17"/>
      <x:c r="B654" s="20"/>
      <x:c r="C654" s="21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22"/>
      <x:c r="O654" s="17"/>
    </x:row>
    <x:row r="655">
      <x:c r="A655" s="17"/>
      <x:c r="B655" s="20"/>
      <x:c r="C655" s="21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22"/>
      <x:c r="O655" s="17"/>
    </x:row>
    <x:row r="656">
      <x:c r="A656" s="17"/>
      <x:c r="B656" s="20"/>
      <x:c r="C656" s="21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22"/>
      <x:c r="O656" s="17"/>
    </x:row>
    <x:row r="657">
      <x:c r="A657" s="17"/>
      <x:c r="B657" s="20"/>
      <x:c r="C657" s="21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22"/>
      <x:c r="O657" s="17"/>
    </x:row>
    <x:row r="658">
      <x:c r="A658" s="17"/>
      <x:c r="B658" s="20"/>
      <x:c r="C658" s="21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22"/>
      <x:c r="O658" s="17"/>
    </x:row>
    <x:row r="659">
      <x:c r="A659" s="17"/>
      <x:c r="B659" s="20"/>
      <x:c r="C659" s="21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22"/>
      <x:c r="O659" s="17"/>
    </x:row>
    <x:row r="660">
      <x:c r="A660" s="17"/>
      <x:c r="B660" s="20"/>
      <x:c r="C660" s="21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22"/>
      <x:c r="O660" s="17"/>
    </x:row>
    <x:row r="661">
      <x:c r="A661" s="17"/>
      <x:c r="B661" s="20"/>
      <x:c r="C661" s="21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22"/>
      <x:c r="O661" s="17"/>
    </x:row>
    <x:row r="662">
      <x:c r="A662" s="17"/>
      <x:c r="B662" s="20"/>
      <x:c r="C662" s="21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22"/>
      <x:c r="O662" s="17"/>
    </x:row>
    <x:row r="663">
      <x:c r="A663" s="17"/>
      <x:c r="B663" s="20"/>
      <x:c r="C663" s="21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22"/>
      <x:c r="O663" s="17"/>
    </x:row>
    <x:row r="664">
      <x:c r="A664" s="17"/>
      <x:c r="B664" s="20"/>
      <x:c r="C664" s="21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22"/>
      <x:c r="O664" s="17"/>
    </x:row>
    <x:row r="665">
      <x:c r="A665" s="17"/>
      <x:c r="B665" s="20"/>
      <x:c r="C665" s="21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22"/>
      <x:c r="O665" s="17"/>
    </x:row>
    <x:row r="666">
      <x:c r="A666" s="17"/>
      <x:c r="B666" s="20"/>
      <x:c r="C666" s="21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22"/>
      <x:c r="O666" s="17"/>
    </x:row>
    <x:row r="667">
      <x:c r="A667" s="17"/>
      <x:c r="B667" s="20"/>
      <x:c r="C667" s="21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22"/>
      <x:c r="O667" s="17"/>
    </x:row>
    <x:row r="668">
      <x:c r="A668" s="17"/>
      <x:c r="B668" s="20"/>
      <x:c r="C668" s="21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22"/>
      <x:c r="O668" s="17"/>
    </x:row>
    <x:row r="669">
      <x:c r="A669" s="17"/>
      <x:c r="B669" s="20"/>
      <x:c r="C669" s="21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22"/>
      <x:c r="O669" s="17"/>
    </x:row>
    <x:row r="670">
      <x:c r="A670" s="17"/>
      <x:c r="B670" s="20"/>
      <x:c r="C670" s="21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22"/>
      <x:c r="O670" s="17"/>
    </x:row>
    <x:row r="671">
      <x:c r="A671" s="17"/>
      <x:c r="B671" s="20"/>
      <x:c r="C671" s="21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22"/>
      <x:c r="O671" s="17"/>
    </x:row>
    <x:row r="672">
      <x:c r="A672" s="17"/>
      <x:c r="B672" s="20"/>
      <x:c r="C672" s="21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22"/>
      <x:c r="O672" s="17"/>
    </x:row>
    <x:row r="673">
      <x:c r="A673" s="17"/>
      <x:c r="B673" s="20"/>
      <x:c r="C673" s="21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22"/>
      <x:c r="O673" s="17"/>
    </x:row>
    <x:row r="674">
      <x:c r="A674" s="17"/>
      <x:c r="B674" s="20"/>
      <x:c r="C674" s="21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22"/>
      <x:c r="O674" s="17"/>
    </x:row>
    <x:row r="675">
      <x:c r="A675" s="17"/>
      <x:c r="B675" s="20"/>
      <x:c r="C675" s="21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22"/>
      <x:c r="O675" s="17"/>
    </x:row>
    <x:row r="676">
      <x:c r="A676" s="17"/>
      <x:c r="B676" s="20"/>
      <x:c r="C676" s="21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22"/>
      <x:c r="O676" s="17"/>
    </x:row>
    <x:row r="677">
      <x:c r="A677" s="17"/>
      <x:c r="B677" s="20"/>
      <x:c r="C677" s="21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22"/>
      <x:c r="O677" s="17"/>
    </x:row>
    <x:row r="678">
      <x:c r="A678" s="17"/>
      <x:c r="B678" s="20"/>
      <x:c r="C678" s="21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22"/>
      <x:c r="O678" s="17"/>
    </x:row>
    <x:row r="679">
      <x:c r="A679" s="17"/>
      <x:c r="B679" s="20"/>
      <x:c r="C679" s="21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22"/>
      <x:c r="O679" s="17"/>
    </x:row>
    <x:row r="680">
      <x:c r="A680" s="17"/>
      <x:c r="B680" s="20"/>
      <x:c r="C680" s="21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22"/>
      <x:c r="O680" s="17"/>
    </x:row>
    <x:row r="681">
      <x:c r="A681" s="17"/>
      <x:c r="B681" s="20"/>
      <x:c r="C681" s="21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22"/>
      <x:c r="O681" s="17"/>
    </x:row>
    <x:row r="682">
      <x:c r="A682" s="17"/>
      <x:c r="B682" s="20"/>
      <x:c r="C682" s="21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22"/>
      <x:c r="O682" s="17"/>
    </x:row>
    <x:row r="683">
      <x:c r="A683" s="17"/>
      <x:c r="B683" s="20"/>
      <x:c r="C683" s="21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22"/>
      <x:c r="O683" s="17"/>
    </x:row>
    <x:row r="684">
      <x:c r="A684" s="17"/>
      <x:c r="B684" s="20"/>
      <x:c r="C684" s="21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22"/>
      <x:c r="O684" s="17"/>
    </x:row>
    <x:row r="685">
      <x:c r="A685" s="17"/>
      <x:c r="B685" s="20"/>
      <x:c r="C685" s="21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22"/>
      <x:c r="O685" s="17"/>
    </x:row>
    <x:row r="686">
      <x:c r="A686" s="17"/>
      <x:c r="B686" s="20"/>
      <x:c r="C686" s="21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22"/>
      <x:c r="O686" s="17"/>
    </x:row>
    <x:row r="687">
      <x:c r="A687" s="17"/>
      <x:c r="B687" s="20"/>
      <x:c r="C687" s="21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22"/>
      <x:c r="O687" s="17"/>
    </x:row>
    <x:row r="688">
      <x:c r="A688" s="17"/>
      <x:c r="B688" s="20"/>
      <x:c r="C688" s="21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22"/>
      <x:c r="O688" s="17"/>
    </x:row>
    <x:row r="689">
      <x:c r="A689" s="17"/>
      <x:c r="B689" s="20"/>
      <x:c r="C689" s="21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22"/>
      <x:c r="O689" s="17"/>
    </x:row>
    <x:row r="690">
      <x:c r="A690" s="17"/>
      <x:c r="B690" s="20"/>
      <x:c r="C690" s="21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22"/>
      <x:c r="O690" s="17"/>
    </x:row>
    <x:row r="691">
      <x:c r="A691" s="17"/>
      <x:c r="B691" s="20"/>
      <x:c r="C691" s="21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22"/>
      <x:c r="O691" s="17"/>
    </x:row>
    <x:row r="692">
      <x:c r="A692" s="17"/>
      <x:c r="B692" s="20"/>
      <x:c r="C692" s="21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22"/>
      <x:c r="O692" s="17"/>
    </x:row>
    <x:row r="693">
      <x:c r="A693" s="17"/>
      <x:c r="B693" s="20"/>
      <x:c r="C693" s="21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22"/>
      <x:c r="O693" s="17"/>
    </x:row>
    <x:row r="694">
      <x:c r="A694" s="17"/>
      <x:c r="B694" s="20"/>
      <x:c r="C694" s="21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22"/>
      <x:c r="O694" s="17"/>
    </x:row>
    <x:row r="695">
      <x:c r="A695" s="17"/>
      <x:c r="B695" s="20"/>
      <x:c r="C695" s="21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22"/>
      <x:c r="O695" s="17"/>
    </x:row>
    <x:row r="696">
      <x:c r="A696" s="17"/>
      <x:c r="B696" s="20"/>
      <x:c r="C696" s="21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22"/>
      <x:c r="O696" s="17"/>
    </x:row>
    <x:row r="697">
      <x:c r="A697" s="17"/>
      <x:c r="B697" s="20"/>
      <x:c r="C697" s="21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22"/>
      <x:c r="O697" s="17"/>
    </x:row>
    <x:row r="698">
      <x:c r="A698" s="17"/>
      <x:c r="B698" s="20"/>
      <x:c r="C698" s="21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22"/>
      <x:c r="O698" s="17"/>
    </x:row>
    <x:row r="699">
      <x:c r="A699" s="17"/>
      <x:c r="B699" s="20"/>
      <x:c r="C699" s="21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22"/>
      <x:c r="O699" s="17"/>
    </x:row>
    <x:row r="700">
      <x:c r="A700" s="17"/>
      <x:c r="B700" s="20"/>
      <x:c r="C700" s="21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22"/>
      <x:c r="O700" s="17"/>
    </x:row>
    <x:row r="701">
      <x:c r="A701" s="17"/>
      <x:c r="B701" s="20"/>
      <x:c r="C701" s="21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22"/>
      <x:c r="O701" s="17"/>
    </x:row>
    <x:row r="702">
      <x:c r="A702" s="17"/>
      <x:c r="B702" s="20"/>
      <x:c r="C702" s="21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22"/>
      <x:c r="O702" s="17"/>
    </x:row>
    <x:row r="703">
      <x:c r="A703" s="17"/>
      <x:c r="B703" s="20"/>
      <x:c r="C703" s="21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22"/>
      <x:c r="O703" s="17"/>
    </x:row>
    <x:row r="704">
      <x:c r="A704" s="17"/>
      <x:c r="B704" s="20"/>
      <x:c r="C704" s="21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22"/>
      <x:c r="O704" s="17"/>
    </x:row>
    <x:row r="705">
      <x:c r="A705" s="17"/>
      <x:c r="B705" s="20"/>
      <x:c r="C705" s="21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22"/>
      <x:c r="O705" s="17"/>
    </x:row>
    <x:row r="706">
      <x:c r="A706" s="17"/>
      <x:c r="B706" s="20"/>
      <x:c r="C706" s="21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22"/>
      <x:c r="O706" s="17"/>
    </x:row>
    <x:row r="707">
      <x:c r="A707" s="17"/>
      <x:c r="B707" s="20"/>
      <x:c r="C707" s="21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22"/>
      <x:c r="O707" s="17"/>
    </x:row>
    <x:row r="708">
      <x:c r="A708" s="17"/>
      <x:c r="B708" s="20"/>
      <x:c r="C708" s="21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22"/>
      <x:c r="O708" s="17"/>
    </x:row>
    <x:row r="709">
      <x:c r="A709" s="17"/>
      <x:c r="B709" s="20"/>
      <x:c r="C709" s="21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22"/>
      <x:c r="O709" s="17"/>
    </x:row>
    <x:row r="710">
      <x:c r="A710" s="17"/>
      <x:c r="B710" s="20"/>
      <x:c r="C710" s="21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22"/>
      <x:c r="O710" s="17"/>
    </x:row>
    <x:row r="711">
      <x:c r="A711" s="17"/>
      <x:c r="B711" s="20"/>
      <x:c r="C711" s="21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22"/>
      <x:c r="O711" s="17"/>
    </x:row>
    <x:row r="712">
      <x:c r="A712" s="17"/>
      <x:c r="B712" s="20"/>
      <x:c r="C712" s="21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22"/>
      <x:c r="O712" s="17"/>
    </x:row>
    <x:row r="713">
      <x:c r="A713" s="17"/>
      <x:c r="B713" s="20"/>
      <x:c r="C713" s="21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22"/>
      <x:c r="O713" s="17"/>
    </x:row>
    <x:row r="714">
      <x:c r="A714" s="17"/>
      <x:c r="B714" s="20"/>
      <x:c r="C714" s="21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22"/>
      <x:c r="O714" s="17"/>
    </x:row>
    <x:row r="715">
      <x:c r="A715" s="17"/>
      <x:c r="B715" s="20"/>
      <x:c r="C715" s="21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22"/>
      <x:c r="O715" s="17"/>
    </x:row>
    <x:row r="716">
      <x:c r="A716" s="17"/>
      <x:c r="B716" s="20"/>
      <x:c r="C716" s="21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22"/>
      <x:c r="O716" s="17"/>
    </x:row>
    <x:row r="717">
      <x:c r="A717" s="17"/>
      <x:c r="B717" s="20"/>
      <x:c r="C717" s="21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22"/>
      <x:c r="O717" s="17"/>
    </x:row>
    <x:row r="718">
      <x:c r="A718" s="17"/>
      <x:c r="B718" s="20"/>
      <x:c r="C718" s="21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22"/>
      <x:c r="O718" s="17"/>
    </x:row>
    <x:row r="719">
      <x:c r="A719" s="17"/>
      <x:c r="B719" s="20"/>
      <x:c r="C719" s="21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22"/>
      <x:c r="O719" s="17"/>
    </x:row>
    <x:row r="720">
      <x:c r="A720" s="17"/>
      <x:c r="B720" s="20"/>
      <x:c r="C720" s="21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22"/>
      <x:c r="O720" s="17"/>
    </x:row>
    <x:row r="721">
      <x:c r="A721" s="17"/>
      <x:c r="B721" s="20"/>
      <x:c r="C721" s="21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22"/>
      <x:c r="O721" s="17"/>
    </x:row>
    <x:row r="722">
      <x:c r="A722" s="17"/>
      <x:c r="B722" s="20"/>
      <x:c r="C722" s="21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22"/>
      <x:c r="O722" s="17"/>
    </x:row>
    <x:row r="723">
      <x:c r="A723" s="17"/>
      <x:c r="B723" s="20"/>
      <x:c r="C723" s="21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22"/>
      <x:c r="O723" s="17"/>
    </x:row>
    <x:row r="724">
      <x:c r="A724" s="17"/>
      <x:c r="B724" s="20"/>
      <x:c r="C724" s="21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22"/>
      <x:c r="O724" s="17"/>
    </x:row>
    <x:row r="725">
      <x:c r="A725" s="17"/>
      <x:c r="B725" s="20"/>
      <x:c r="C725" s="21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22"/>
      <x:c r="O725" s="17"/>
    </x:row>
    <x:row r="726">
      <x:c r="A726" s="17"/>
      <x:c r="B726" s="20"/>
      <x:c r="C726" s="21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22"/>
      <x:c r="O726" s="17"/>
    </x:row>
    <x:row r="727">
      <x:c r="A727" s="17"/>
      <x:c r="B727" s="20"/>
      <x:c r="C727" s="21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22"/>
      <x:c r="O727" s="17"/>
    </x:row>
    <x:row r="728">
      <x:c r="A728" s="17"/>
      <x:c r="B728" s="20"/>
      <x:c r="C728" s="21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22"/>
      <x:c r="O728" s="17"/>
    </x:row>
    <x:row r="729">
      <x:c r="A729" s="17"/>
      <x:c r="B729" s="20"/>
      <x:c r="C729" s="21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22"/>
      <x:c r="O729" s="17"/>
    </x:row>
    <x:row r="730">
      <x:c r="A730" s="17"/>
      <x:c r="B730" s="20"/>
      <x:c r="C730" s="21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22"/>
      <x:c r="O730" s="17"/>
    </x:row>
    <x:row r="731">
      <x:c r="A731" s="17"/>
      <x:c r="B731" s="20"/>
      <x:c r="C731" s="21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22"/>
      <x:c r="O731" s="17"/>
    </x:row>
    <x:row r="732">
      <x:c r="A732" s="17"/>
      <x:c r="B732" s="20"/>
      <x:c r="C732" s="21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22"/>
      <x:c r="O732" s="17"/>
    </x:row>
    <x:row r="733">
      <x:c r="A733" s="17"/>
      <x:c r="B733" s="20"/>
      <x:c r="C733" s="21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22"/>
      <x:c r="O733" s="17"/>
    </x:row>
    <x:row r="734">
      <x:c r="A734" s="17"/>
      <x:c r="B734" s="20"/>
      <x:c r="C734" s="21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22"/>
      <x:c r="O734" s="17"/>
    </x:row>
    <x:row r="735">
      <x:c r="A735" s="17"/>
      <x:c r="B735" s="20"/>
      <x:c r="C735" s="21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22"/>
      <x:c r="O735" s="17"/>
    </x:row>
    <x:row r="736">
      <x:c r="A736" s="17"/>
      <x:c r="B736" s="20"/>
      <x:c r="C736" s="21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22"/>
      <x:c r="O736" s="17"/>
    </x:row>
    <x:row r="737">
      <x:c r="A737" s="17"/>
      <x:c r="B737" s="20"/>
      <x:c r="C737" s="21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22"/>
      <x:c r="O737" s="17"/>
    </x:row>
    <x:row r="738">
      <x:c r="A738" s="17"/>
      <x:c r="B738" s="20"/>
      <x:c r="C738" s="21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22"/>
      <x:c r="O738" s="17"/>
    </x:row>
    <x:row r="739">
      <x:c r="A739" s="17"/>
      <x:c r="B739" s="20"/>
      <x:c r="C739" s="21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22"/>
      <x:c r="O739" s="17"/>
    </x:row>
    <x:row r="740">
      <x:c r="A740" s="17"/>
      <x:c r="B740" s="20"/>
      <x:c r="C740" s="21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22"/>
      <x:c r="O740" s="17"/>
    </x:row>
    <x:row r="741">
      <x:c r="A741" s="17"/>
      <x:c r="B741" s="20"/>
      <x:c r="C741" s="21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22"/>
      <x:c r="O741" s="17"/>
    </x:row>
    <x:row r="742">
      <x:c r="A742" s="17"/>
      <x:c r="B742" s="20"/>
      <x:c r="C742" s="21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22"/>
      <x:c r="O742" s="17"/>
    </x:row>
    <x:row r="743">
      <x:c r="A743" s="17"/>
      <x:c r="B743" s="20"/>
      <x:c r="C743" s="21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22"/>
      <x:c r="O743" s="17"/>
    </x:row>
    <x:row r="744">
      <x:c r="A744" s="17"/>
      <x:c r="B744" s="20"/>
      <x:c r="C744" s="21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22"/>
      <x:c r="O744" s="17"/>
    </x:row>
    <x:row r="745">
      <x:c r="A745" s="17"/>
      <x:c r="B745" s="20"/>
      <x:c r="C745" s="21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22"/>
      <x:c r="O745" s="17"/>
    </x:row>
    <x:row r="746">
      <x:c r="A746" s="17"/>
      <x:c r="B746" s="20"/>
      <x:c r="C746" s="21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22"/>
      <x:c r="O746" s="17"/>
    </x:row>
    <x:row r="747">
      <x:c r="A747" s="17"/>
      <x:c r="B747" s="20"/>
      <x:c r="C747" s="21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22"/>
      <x:c r="O747" s="17"/>
    </x:row>
    <x:row r="748">
      <x:c r="A748" s="17"/>
      <x:c r="B748" s="20"/>
      <x:c r="C748" s="21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22"/>
      <x:c r="O748" s="17"/>
    </x:row>
    <x:row r="749">
      <x:c r="A749" s="17"/>
      <x:c r="B749" s="20"/>
      <x:c r="C749" s="21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22"/>
      <x:c r="O749" s="17"/>
    </x:row>
    <x:row r="750">
      <x:c r="A750" s="17"/>
      <x:c r="B750" s="20"/>
      <x:c r="C750" s="21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22"/>
      <x:c r="O750" s="17"/>
    </x:row>
    <x:row r="751">
      <x:c r="A751" s="17"/>
      <x:c r="B751" s="20"/>
      <x:c r="C751" s="21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22"/>
      <x:c r="O751" s="17"/>
    </x:row>
    <x:row r="752">
      <x:c r="A752" s="17"/>
      <x:c r="B752" s="20"/>
      <x:c r="C752" s="21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22"/>
      <x:c r="O752" s="17"/>
    </x:row>
    <x:row r="753">
      <x:c r="A753" s="17"/>
      <x:c r="B753" s="20"/>
      <x:c r="C753" s="21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22"/>
      <x:c r="O753" s="17"/>
    </x:row>
    <x:row r="754">
      <x:c r="A754" s="17"/>
      <x:c r="B754" s="20"/>
      <x:c r="C754" s="21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22"/>
      <x:c r="O754" s="17"/>
    </x:row>
    <x:row r="755">
      <x:c r="A755" s="17"/>
      <x:c r="B755" s="20"/>
      <x:c r="C755" s="21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22"/>
      <x:c r="O755" s="17"/>
    </x:row>
    <x:row r="756">
      <x:c r="A756" s="17"/>
      <x:c r="B756" s="20"/>
      <x:c r="C756" s="21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22"/>
      <x:c r="O756" s="17"/>
    </x:row>
    <x:row r="757">
      <x:c r="A757" s="17"/>
      <x:c r="B757" s="20"/>
      <x:c r="C757" s="21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22"/>
      <x:c r="O757" s="17"/>
    </x:row>
    <x:row r="758">
      <x:c r="A758" s="17"/>
      <x:c r="B758" s="20"/>
      <x:c r="C758" s="21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22"/>
      <x:c r="O758" s="17"/>
    </x:row>
    <x:row r="759">
      <x:c r="A759" s="17"/>
      <x:c r="B759" s="20"/>
      <x:c r="C759" s="21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22"/>
      <x:c r="O759" s="17"/>
    </x:row>
    <x:row r="760">
      <x:c r="A760" s="17"/>
      <x:c r="B760" s="20"/>
      <x:c r="C760" s="21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22"/>
      <x:c r="O760" s="17"/>
    </x:row>
    <x:row r="761">
      <x:c r="A761" s="17"/>
      <x:c r="B761" s="20"/>
      <x:c r="C761" s="21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22"/>
      <x:c r="O761" s="17"/>
    </x:row>
    <x:row r="762">
      <x:c r="A762" s="17"/>
      <x:c r="B762" s="20"/>
      <x:c r="C762" s="21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22"/>
      <x:c r="O762" s="17"/>
    </x:row>
    <x:row r="763">
      <x:c r="A763" s="17"/>
      <x:c r="B763" s="20"/>
      <x:c r="C763" s="21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22"/>
      <x:c r="O763" s="17"/>
    </x:row>
    <x:row r="764">
      <x:c r="A764" s="17"/>
      <x:c r="B764" s="20"/>
      <x:c r="C764" s="21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22"/>
      <x:c r="O764" s="17"/>
    </x:row>
    <x:row r="765">
      <x:c r="A765" s="17"/>
      <x:c r="B765" s="20"/>
      <x:c r="C765" s="21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22"/>
      <x:c r="O765" s="17"/>
    </x:row>
    <x:row r="766">
      <x:c r="A766" s="17"/>
      <x:c r="B766" s="20"/>
      <x:c r="C766" s="21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22"/>
      <x:c r="O766" s="17"/>
    </x:row>
    <x:row r="767">
      <x:c r="A767" s="17"/>
      <x:c r="B767" s="20"/>
      <x:c r="C767" s="21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22"/>
      <x:c r="O767" s="17"/>
    </x:row>
    <x:row r="768">
      <x:c r="A768" s="17"/>
      <x:c r="B768" s="20"/>
      <x:c r="C768" s="21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22"/>
      <x:c r="O768" s="17"/>
    </x:row>
    <x:row r="769">
      <x:c r="A769" s="17"/>
      <x:c r="B769" s="20"/>
      <x:c r="C769" s="21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22"/>
      <x:c r="O769" s="17"/>
    </x:row>
    <x:row r="770">
      <x:c r="A770" s="17"/>
      <x:c r="B770" s="20"/>
      <x:c r="C770" s="21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22"/>
      <x:c r="O770" s="17"/>
    </x:row>
    <x:row r="771">
      <x:c r="A771" s="17"/>
      <x:c r="B771" s="20"/>
      <x:c r="C771" s="21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22"/>
      <x:c r="O771" s="17"/>
    </x:row>
    <x:row r="772">
      <x:c r="A772" s="17"/>
      <x:c r="B772" s="20"/>
      <x:c r="C772" s="21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22"/>
      <x:c r="O772" s="17"/>
    </x:row>
    <x:row r="773">
      <x:c r="A773" s="17"/>
      <x:c r="B773" s="20"/>
      <x:c r="C773" s="21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22"/>
      <x:c r="O773" s="17"/>
    </x:row>
    <x:row r="774">
      <x:c r="A774" s="17"/>
      <x:c r="B774" s="20"/>
      <x:c r="C774" s="21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22"/>
      <x:c r="O774" s="17"/>
    </x:row>
    <x:row r="775">
      <x:c r="A775" s="17"/>
      <x:c r="B775" s="20"/>
      <x:c r="C775" s="21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22"/>
      <x:c r="O775" s="17"/>
    </x:row>
    <x:row r="776">
      <x:c r="A776" s="17"/>
      <x:c r="B776" s="20"/>
      <x:c r="C776" s="21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22"/>
      <x:c r="O776" s="17"/>
    </x:row>
    <x:row r="777">
      <x:c r="A777" s="17"/>
      <x:c r="B777" s="20"/>
      <x:c r="C777" s="21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22"/>
      <x:c r="O777" s="17"/>
    </x:row>
    <x:row r="778">
      <x:c r="A778" s="17"/>
      <x:c r="B778" s="20"/>
      <x:c r="C778" s="21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22"/>
      <x:c r="O778" s="17"/>
    </x:row>
    <x:row r="779">
      <x:c r="A779" s="17"/>
      <x:c r="B779" s="20"/>
      <x:c r="C779" s="21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22"/>
      <x:c r="O779" s="17"/>
    </x:row>
    <x:row r="780">
      <x:c r="A780" s="17"/>
      <x:c r="B780" s="20"/>
      <x:c r="C780" s="21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22"/>
      <x:c r="O780" s="17"/>
    </x:row>
    <x:row r="781">
      <x:c r="A781" s="17"/>
      <x:c r="B781" s="20"/>
      <x:c r="C781" s="21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22"/>
      <x:c r="O781" s="17"/>
    </x:row>
    <x:row r="782">
      <x:c r="A782" s="17"/>
      <x:c r="B782" s="20"/>
      <x:c r="C782" s="21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22"/>
      <x:c r="O782" s="17"/>
    </x:row>
    <x:row r="783">
      <x:c r="A783" s="17"/>
      <x:c r="B783" s="20"/>
      <x:c r="C783" s="21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22"/>
      <x:c r="O783" s="17"/>
    </x:row>
    <x:row r="784">
      <x:c r="A784" s="17"/>
      <x:c r="B784" s="20"/>
      <x:c r="C784" s="21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22"/>
      <x:c r="O784" s="17"/>
    </x:row>
    <x:row r="785">
      <x:c r="A785" s="17"/>
      <x:c r="B785" s="20"/>
      <x:c r="C785" s="21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22"/>
      <x:c r="O785" s="17"/>
    </x:row>
    <x:row r="786">
      <x:c r="A786" s="17"/>
      <x:c r="B786" s="20"/>
      <x:c r="C786" s="21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22"/>
      <x:c r="O786" s="17"/>
    </x:row>
    <x:row r="787">
      <x:c r="A787" s="17"/>
      <x:c r="B787" s="20"/>
      <x:c r="C787" s="21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22"/>
      <x:c r="O787" s="17"/>
    </x:row>
    <x:row r="788">
      <x:c r="A788" s="17"/>
      <x:c r="B788" s="20"/>
      <x:c r="C788" s="21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22"/>
      <x:c r="O788" s="17"/>
    </x:row>
    <x:row r="789">
      <x:c r="A789" s="17"/>
      <x:c r="B789" s="20"/>
      <x:c r="C789" s="21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22"/>
      <x:c r="O789" s="17"/>
    </x:row>
    <x:row r="790">
      <x:c r="A790" s="17"/>
      <x:c r="B790" s="20"/>
      <x:c r="C790" s="21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22"/>
      <x:c r="O790" s="17"/>
    </x:row>
    <x:row r="791">
      <x:c r="A791" s="17"/>
      <x:c r="B791" s="20"/>
      <x:c r="C791" s="21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22"/>
      <x:c r="O791" s="17"/>
    </x:row>
    <x:row r="792">
      <x:c r="A792" s="17"/>
      <x:c r="B792" s="20"/>
      <x:c r="C792" s="21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22"/>
      <x:c r="O792" s="17"/>
    </x:row>
    <x:row r="793">
      <x:c r="A793" s="17"/>
      <x:c r="B793" s="20"/>
      <x:c r="C793" s="21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22"/>
      <x:c r="O793" s="17"/>
    </x:row>
    <x:row r="794">
      <x:c r="A794" s="17"/>
      <x:c r="B794" s="20"/>
      <x:c r="C794" s="21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22"/>
      <x:c r="O794" s="17"/>
    </x:row>
    <x:row r="795">
      <x:c r="A795" s="17"/>
      <x:c r="B795" s="20"/>
      <x:c r="C795" s="21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22"/>
      <x:c r="O795" s="17"/>
    </x:row>
    <x:row r="796">
      <x:c r="A796" s="17"/>
      <x:c r="B796" s="20"/>
      <x:c r="C796" s="21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22"/>
      <x:c r="O796" s="17"/>
    </x:row>
    <x:row r="797">
      <x:c r="A797" s="17"/>
      <x:c r="B797" s="20"/>
      <x:c r="C797" s="21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22"/>
      <x:c r="O797" s="17"/>
    </x:row>
    <x:row r="798">
      <x:c r="A798" s="17"/>
      <x:c r="B798" s="20"/>
      <x:c r="C798" s="21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22"/>
      <x:c r="O798" s="17"/>
    </x:row>
    <x:row r="799">
      <x:c r="A799" s="17"/>
      <x:c r="B799" s="20"/>
      <x:c r="C799" s="21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22"/>
      <x:c r="O799" s="17"/>
    </x:row>
    <x:row r="800">
      <x:c r="A800" s="17"/>
      <x:c r="B800" s="20"/>
      <x:c r="C800" s="21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22"/>
      <x:c r="O800" s="17"/>
    </x:row>
    <x:row r="801">
      <x:c r="A801" s="17"/>
      <x:c r="B801" s="20"/>
      <x:c r="C801" s="21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22"/>
      <x:c r="O801" s="17"/>
    </x:row>
    <x:row r="802">
      <x:c r="A802" s="17"/>
      <x:c r="B802" s="20"/>
      <x:c r="C802" s="21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22"/>
      <x:c r="O802" s="17"/>
    </x:row>
    <x:row r="803">
      <x:c r="A803" s="17"/>
      <x:c r="B803" s="20"/>
      <x:c r="C803" s="21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22"/>
      <x:c r="O803" s="17"/>
    </x:row>
    <x:row r="804">
      <x:c r="A804" s="17"/>
      <x:c r="B804" s="20"/>
      <x:c r="C804" s="21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22"/>
      <x:c r="O804" s="17"/>
    </x:row>
    <x:row r="805">
      <x:c r="A805" s="17"/>
      <x:c r="B805" s="20"/>
      <x:c r="C805" s="21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22"/>
      <x:c r="O805" s="17"/>
    </x:row>
    <x:row r="806">
      <x:c r="A806" s="17"/>
      <x:c r="B806" s="20"/>
      <x:c r="C806" s="21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22"/>
      <x:c r="O806" s="17"/>
    </x:row>
    <x:row r="807">
      <x:c r="A807" s="17"/>
      <x:c r="B807" s="20"/>
      <x:c r="C807" s="21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22"/>
      <x:c r="O807" s="17"/>
    </x:row>
    <x:row r="808">
      <x:c r="A808" s="17"/>
      <x:c r="B808" s="20"/>
      <x:c r="C808" s="21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22"/>
      <x:c r="O808" s="17"/>
    </x:row>
    <x:row r="809">
      <x:c r="A809" s="17"/>
      <x:c r="B809" s="20"/>
      <x:c r="C809" s="21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22"/>
      <x:c r="O809" s="17"/>
    </x:row>
    <x:row r="810">
      <x:c r="A810" s="17"/>
      <x:c r="B810" s="20"/>
      <x:c r="C810" s="21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22"/>
      <x:c r="O810" s="17"/>
    </x:row>
    <x:row r="811">
      <x:c r="A811" s="17"/>
      <x:c r="B811" s="20"/>
      <x:c r="C811" s="21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22"/>
      <x:c r="O811" s="17"/>
    </x:row>
    <x:row r="812">
      <x:c r="A812" s="17"/>
      <x:c r="B812" s="20"/>
      <x:c r="C812" s="21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22"/>
      <x:c r="O812" s="17"/>
    </x:row>
    <x:row r="813">
      <x:c r="A813" s="17"/>
      <x:c r="B813" s="20"/>
      <x:c r="C813" s="21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22"/>
      <x:c r="O813" s="17"/>
    </x:row>
    <x:row r="814">
      <x:c r="A814" s="17"/>
      <x:c r="B814" s="20"/>
      <x:c r="C814" s="21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22"/>
      <x:c r="O814" s="17"/>
    </x:row>
    <x:row r="815">
      <x:c r="A815" s="17"/>
      <x:c r="B815" s="20"/>
      <x:c r="C815" s="21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22"/>
      <x:c r="O815" s="17"/>
    </x:row>
    <x:row r="816">
      <x:c r="A816" s="17"/>
      <x:c r="B816" s="20"/>
      <x:c r="C816" s="21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22"/>
      <x:c r="O816" s="17"/>
    </x:row>
    <x:row r="817">
      <x:c r="A817" s="17"/>
      <x:c r="B817" s="20"/>
      <x:c r="C817" s="21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22"/>
      <x:c r="O817" s="17"/>
    </x:row>
    <x:row r="818">
      <x:c r="A818" s="17"/>
      <x:c r="B818" s="20"/>
      <x:c r="C818" s="21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22"/>
      <x:c r="O818" s="17"/>
    </x:row>
    <x:row r="819">
      <x:c r="A819" s="17"/>
      <x:c r="B819" s="20"/>
      <x:c r="C819" s="21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22"/>
      <x:c r="O819" s="17"/>
    </x:row>
    <x:row r="820">
      <x:c r="A820" s="17"/>
      <x:c r="B820" s="20"/>
      <x:c r="C820" s="21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22"/>
      <x:c r="O820" s="17"/>
    </x:row>
    <x:row r="821">
      <x:c r="A821" s="17"/>
      <x:c r="B821" s="20"/>
      <x:c r="C821" s="21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22"/>
      <x:c r="O821" s="17"/>
    </x:row>
    <x:row r="822">
      <x:c r="A822" s="17"/>
      <x:c r="B822" s="20"/>
      <x:c r="C822" s="21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22"/>
      <x:c r="O822" s="17"/>
    </x:row>
    <x:row r="823">
      <x:c r="A823" s="17"/>
      <x:c r="B823" s="20"/>
      <x:c r="C823" s="21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22"/>
      <x:c r="O823" s="17"/>
    </x:row>
    <x:row r="824">
      <x:c r="A824" s="17"/>
      <x:c r="B824" s="20"/>
      <x:c r="C824" s="21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22"/>
      <x:c r="O824" s="17"/>
    </x:row>
    <x:row r="825">
      <x:c r="A825" s="17"/>
      <x:c r="B825" s="20"/>
      <x:c r="C825" s="21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22"/>
      <x:c r="O825" s="17"/>
    </x:row>
    <x:row r="826">
      <x:c r="A826" s="17"/>
      <x:c r="B826" s="20"/>
      <x:c r="C826" s="21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22"/>
      <x:c r="O826" s="17"/>
    </x:row>
    <x:row r="827">
      <x:c r="A827" s="17"/>
      <x:c r="B827" s="20"/>
      <x:c r="C827" s="21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22"/>
      <x:c r="O827" s="17"/>
    </x:row>
    <x:row r="828">
      <x:c r="A828" s="17"/>
      <x:c r="B828" s="20"/>
      <x:c r="C828" s="21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22"/>
      <x:c r="O828" s="17"/>
    </x:row>
    <x:row r="829">
      <x:c r="A829" s="17"/>
      <x:c r="B829" s="20"/>
      <x:c r="C829" s="21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22"/>
      <x:c r="O829" s="17"/>
    </x:row>
    <x:row r="830">
      <x:c r="A830" s="17"/>
      <x:c r="B830" s="20"/>
      <x:c r="C830" s="21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22"/>
      <x:c r="O830" s="17"/>
    </x:row>
    <x:row r="831">
      <x:c r="A831" s="17"/>
      <x:c r="B831" s="20"/>
      <x:c r="C831" s="21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22"/>
      <x:c r="O831" s="17"/>
    </x:row>
    <x:row r="832">
      <x:c r="A832" s="17"/>
      <x:c r="B832" s="20"/>
      <x:c r="C832" s="21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22"/>
      <x:c r="O832" s="17"/>
    </x:row>
    <x:row r="833">
      <x:c r="A833" s="17"/>
      <x:c r="B833" s="20"/>
      <x:c r="C833" s="21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22"/>
      <x:c r="O833" s="17"/>
    </x:row>
    <x:row r="834">
      <x:c r="A834" s="17"/>
      <x:c r="B834" s="20"/>
      <x:c r="C834" s="21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22"/>
      <x:c r="O834" s="17"/>
    </x:row>
    <x:row r="835">
      <x:c r="A835" s="17"/>
      <x:c r="B835" s="20"/>
      <x:c r="C835" s="21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22"/>
      <x:c r="O835" s="17"/>
    </x:row>
    <x:row r="836">
      <x:c r="A836" s="17"/>
      <x:c r="B836" s="20"/>
      <x:c r="C836" s="21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22"/>
      <x:c r="O836" s="17"/>
    </x:row>
    <x:row r="837">
      <x:c r="A837" s="17"/>
      <x:c r="B837" s="20"/>
      <x:c r="C837" s="21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22"/>
      <x:c r="O837" s="17"/>
    </x:row>
    <x:row r="838">
      <x:c r="A838" s="17"/>
      <x:c r="B838" s="20"/>
      <x:c r="C838" s="21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22"/>
      <x:c r="O838" s="17"/>
    </x:row>
    <x:row r="839">
      <x:c r="A839" s="17"/>
      <x:c r="B839" s="20"/>
      <x:c r="C839" s="21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22"/>
      <x:c r="O839" s="17"/>
    </x:row>
    <x:row r="840">
      <x:c r="A840" s="17"/>
      <x:c r="B840" s="20"/>
      <x:c r="C840" s="21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22"/>
      <x:c r="O840" s="17"/>
    </x:row>
    <x:row r="841">
      <x:c r="A841" s="17"/>
      <x:c r="B841" s="20"/>
      <x:c r="C841" s="21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22"/>
      <x:c r="O841" s="17"/>
    </x:row>
    <x:row r="842">
      <x:c r="A842" s="17"/>
      <x:c r="B842" s="20"/>
      <x:c r="C842" s="21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22"/>
      <x:c r="O842" s="17"/>
    </x:row>
    <x:row r="843">
      <x:c r="A843" s="17"/>
      <x:c r="B843" s="20"/>
      <x:c r="C843" s="21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22"/>
      <x:c r="O843" s="17"/>
    </x:row>
    <x:row r="844">
      <x:c r="A844" s="17"/>
      <x:c r="B844" s="20"/>
      <x:c r="C844" s="21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22"/>
      <x:c r="O844" s="17"/>
    </x:row>
    <x:row r="845">
      <x:c r="A845" s="17"/>
      <x:c r="B845" s="20"/>
      <x:c r="C845" s="21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22"/>
      <x:c r="O845" s="17"/>
    </x:row>
    <x:row r="846">
      <x:c r="A846" s="17"/>
      <x:c r="B846" s="20"/>
      <x:c r="C846" s="21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22"/>
      <x:c r="O846" s="17"/>
    </x:row>
    <x:row r="847">
      <x:c r="A847" s="17"/>
      <x:c r="B847" s="20"/>
      <x:c r="C847" s="21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22"/>
      <x:c r="O847" s="17"/>
    </x:row>
    <x:row r="848">
      <x:c r="A848" s="17"/>
      <x:c r="B848" s="20"/>
      <x:c r="C848" s="21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22"/>
      <x:c r="O848" s="17"/>
    </x:row>
    <x:row r="849">
      <x:c r="A849" s="17"/>
      <x:c r="B849" s="20"/>
      <x:c r="C849" s="21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22"/>
      <x:c r="O849" s="17"/>
    </x:row>
    <x:row r="850">
      <x:c r="A850" s="17"/>
      <x:c r="B850" s="20"/>
      <x:c r="C850" s="21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22"/>
      <x:c r="O850" s="17"/>
    </x:row>
    <x:row r="851">
      <x:c r="A851" s="17"/>
      <x:c r="B851" s="20"/>
      <x:c r="C851" s="21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22"/>
      <x:c r="O851" s="17"/>
    </x:row>
    <x:row r="852">
      <x:c r="A852" s="17"/>
      <x:c r="B852" s="20"/>
      <x:c r="C852" s="21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22"/>
      <x:c r="O852" s="17"/>
    </x:row>
    <x:row r="853">
      <x:c r="A853" s="17"/>
      <x:c r="B853" s="20"/>
      <x:c r="C853" s="21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22"/>
      <x:c r="O853" s="17"/>
    </x:row>
    <x:row r="854">
      <x:c r="A854" s="17"/>
      <x:c r="B854" s="20"/>
      <x:c r="C854" s="21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22"/>
      <x:c r="O854" s="17"/>
    </x:row>
    <x:row r="855">
      <x:c r="A855" s="17"/>
      <x:c r="B855" s="20"/>
      <x:c r="C855" s="21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22"/>
      <x:c r="O855" s="17"/>
    </x:row>
    <x:row r="856">
      <x:c r="A856" s="17"/>
      <x:c r="B856" s="20"/>
      <x:c r="C856" s="21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22"/>
      <x:c r="O856" s="17"/>
    </x:row>
    <x:row r="857">
      <x:c r="A857" s="17"/>
      <x:c r="B857" s="20"/>
      <x:c r="C857" s="21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22"/>
      <x:c r="O857" s="17"/>
    </x:row>
    <x:row r="858">
      <x:c r="A858" s="17"/>
      <x:c r="B858" s="20"/>
      <x:c r="C858" s="21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22"/>
      <x:c r="O858" s="17"/>
    </x:row>
    <x:row r="859">
      <x:c r="A859" s="17"/>
      <x:c r="B859" s="20"/>
      <x:c r="C859" s="21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22"/>
      <x:c r="O859" s="17"/>
    </x:row>
    <x:row r="860">
      <x:c r="A860" s="17"/>
      <x:c r="B860" s="20"/>
      <x:c r="C860" s="21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22"/>
      <x:c r="O860" s="17"/>
    </x:row>
    <x:row r="861">
      <x:c r="A861" s="17"/>
      <x:c r="B861" s="20"/>
      <x:c r="C861" s="21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22"/>
      <x:c r="O861" s="17"/>
    </x:row>
    <x:row r="862">
      <x:c r="A862" s="17"/>
      <x:c r="B862" s="20"/>
      <x:c r="C862" s="21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22"/>
      <x:c r="O862" s="17"/>
    </x:row>
    <x:row r="863">
      <x:c r="A863" s="17"/>
      <x:c r="B863" s="20"/>
      <x:c r="C863" s="21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22"/>
      <x:c r="O863" s="17"/>
    </x:row>
    <x:row r="864">
      <x:c r="A864" s="17"/>
      <x:c r="B864" s="20"/>
      <x:c r="C864" s="21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22"/>
      <x:c r="O864" s="17"/>
    </x:row>
    <x:row r="865">
      <x:c r="A865" s="17"/>
      <x:c r="B865" s="20"/>
      <x:c r="C865" s="21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22"/>
      <x:c r="O865" s="17"/>
    </x:row>
    <x:row r="866">
      <x:c r="A866" s="17"/>
      <x:c r="B866" s="20"/>
      <x:c r="C866" s="21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22"/>
      <x:c r="O866" s="17"/>
    </x:row>
    <x:row r="867">
      <x:c r="A867" s="17"/>
      <x:c r="B867" s="20"/>
      <x:c r="C867" s="21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22"/>
      <x:c r="O867" s="17"/>
    </x:row>
    <x:row r="868">
      <x:c r="A868" s="17"/>
      <x:c r="B868" s="20"/>
      <x:c r="C868" s="21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22"/>
      <x:c r="O868" s="17"/>
    </x:row>
    <x:row r="869">
      <x:c r="A869" s="17"/>
      <x:c r="B869" s="20"/>
      <x:c r="C869" s="21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22"/>
      <x:c r="O869" s="17"/>
    </x:row>
    <x:row r="870">
      <x:c r="A870" s="17"/>
      <x:c r="B870" s="20"/>
      <x:c r="C870" s="21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22"/>
      <x:c r="O870" s="17"/>
    </x:row>
    <x:row r="871">
      <x:c r="A871" s="17"/>
      <x:c r="B871" s="20"/>
      <x:c r="C871" s="21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22"/>
      <x:c r="O871" s="17"/>
    </x:row>
    <x:row r="872">
      <x:c r="A872" s="17"/>
      <x:c r="B872" s="20"/>
      <x:c r="C872" s="21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22"/>
      <x:c r="O872" s="17"/>
    </x:row>
    <x:row r="873">
      <x:c r="A873" s="17"/>
      <x:c r="B873" s="20"/>
      <x:c r="C873" s="21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22"/>
      <x:c r="O873" s="17"/>
    </x:row>
    <x:row r="874">
      <x:c r="A874" s="17"/>
      <x:c r="B874" s="20"/>
      <x:c r="C874" s="21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22"/>
      <x:c r="O874" s="17"/>
    </x:row>
    <x:row r="875">
      <x:c r="A875" s="17"/>
      <x:c r="B875" s="20"/>
      <x:c r="C875" s="21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22"/>
      <x:c r="O875" s="17"/>
    </x:row>
    <x:row r="876">
      <x:c r="A876" s="17"/>
      <x:c r="B876" s="20"/>
      <x:c r="C876" s="21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22"/>
      <x:c r="O876" s="17"/>
    </x:row>
    <x:row r="877">
      <x:c r="A877" s="17"/>
      <x:c r="B877" s="20"/>
      <x:c r="C877" s="21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22"/>
      <x:c r="O877" s="17"/>
    </x:row>
    <x:row r="878">
      <x:c r="A878" s="17"/>
      <x:c r="B878" s="20"/>
      <x:c r="C878" s="21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22"/>
      <x:c r="O878" s="17"/>
    </x:row>
    <x:row r="879">
      <x:c r="A879" s="17"/>
      <x:c r="B879" s="20"/>
      <x:c r="C879" s="21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22"/>
      <x:c r="O879" s="17"/>
    </x:row>
    <x:row r="880">
      <x:c r="A880" s="17"/>
      <x:c r="B880" s="20"/>
      <x:c r="C880" s="21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22"/>
      <x:c r="O880" s="17"/>
    </x:row>
    <x:row r="881">
      <x:c r="A881" s="17"/>
      <x:c r="B881" s="20"/>
      <x:c r="C881" s="21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22"/>
      <x:c r="O881" s="17"/>
    </x:row>
    <x:row r="882">
      <x:c r="A882" s="17"/>
      <x:c r="B882" s="20"/>
      <x:c r="C882" s="21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22"/>
      <x:c r="O882" s="17"/>
    </x:row>
    <x:row r="883">
      <x:c r="A883" s="17"/>
      <x:c r="B883" s="20"/>
      <x:c r="C883" s="21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22"/>
      <x:c r="O883" s="17"/>
    </x:row>
    <x:row r="884">
      <x:c r="A884" s="17"/>
      <x:c r="B884" s="20"/>
      <x:c r="C884" s="21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22"/>
      <x:c r="O884" s="17"/>
    </x:row>
    <x:row r="885">
      <x:c r="A885" s="17"/>
      <x:c r="B885" s="20"/>
      <x:c r="C885" s="21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22"/>
      <x:c r="O885" s="17"/>
    </x:row>
    <x:row r="886">
      <x:c r="A886" s="17"/>
      <x:c r="B886" s="20"/>
      <x:c r="C886" s="21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22"/>
      <x:c r="O886" s="17"/>
    </x:row>
    <x:row r="887">
      <x:c r="A887" s="17"/>
      <x:c r="B887" s="20"/>
      <x:c r="C887" s="21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22"/>
      <x:c r="O887" s="17"/>
    </x:row>
    <x:row r="888">
      <x:c r="A888" s="17"/>
      <x:c r="B888" s="20"/>
      <x:c r="C888" s="21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22"/>
      <x:c r="O888" s="17"/>
    </x:row>
    <x:row r="889">
      <x:c r="A889" s="17"/>
      <x:c r="B889" s="20"/>
      <x:c r="C889" s="21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22"/>
      <x:c r="O889" s="17"/>
    </x:row>
    <x:row r="890">
      <x:c r="A890" s="17"/>
      <x:c r="B890" s="20"/>
      <x:c r="C890" s="21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22"/>
      <x:c r="O890" s="17"/>
    </x:row>
    <x:row r="891">
      <x:c r="A891" s="17"/>
      <x:c r="B891" s="20"/>
      <x:c r="C891" s="21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22"/>
      <x:c r="O891" s="17"/>
    </x:row>
    <x:row r="892">
      <x:c r="A892" s="17"/>
      <x:c r="B892" s="20"/>
      <x:c r="C892" s="21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22"/>
      <x:c r="O892" s="17"/>
    </x:row>
    <x:row r="893">
      <x:c r="A893" s="17"/>
      <x:c r="B893" s="20"/>
      <x:c r="C893" s="21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22"/>
      <x:c r="O893" s="17"/>
    </x:row>
    <x:row r="894">
      <x:c r="A894" s="17"/>
      <x:c r="B894" s="20"/>
      <x:c r="C894" s="21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22"/>
      <x:c r="O894" s="17"/>
    </x:row>
    <x:row r="895">
      <x:c r="A895" s="17"/>
      <x:c r="B895" s="20"/>
      <x:c r="C895" s="21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22"/>
      <x:c r="O895" s="17"/>
    </x:row>
    <x:row r="896">
      <x:c r="A896" s="17"/>
      <x:c r="B896" s="20"/>
      <x:c r="C896" s="21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22"/>
      <x:c r="O896" s="17"/>
    </x:row>
    <x:row r="897">
      <x:c r="A897" s="17"/>
      <x:c r="B897" s="20"/>
      <x:c r="C897" s="21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22"/>
      <x:c r="O897" s="17"/>
    </x:row>
    <x:row r="898">
      <x:c r="A898" s="17"/>
      <x:c r="B898" s="20"/>
      <x:c r="C898" s="21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22"/>
      <x:c r="O898" s="17"/>
    </x:row>
    <x:row r="899">
      <x:c r="A899" s="17"/>
      <x:c r="B899" s="20"/>
      <x:c r="C899" s="21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22"/>
      <x:c r="O899" s="17"/>
    </x:row>
    <x:row r="900">
      <x:c r="A900" s="17"/>
      <x:c r="B900" s="20"/>
      <x:c r="C900" s="21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22"/>
      <x:c r="O900" s="17"/>
    </x:row>
    <x:row r="901">
      <x:c r="A901" s="17"/>
      <x:c r="B901" s="20"/>
      <x:c r="C901" s="21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22"/>
      <x:c r="O901" s="17"/>
    </x:row>
    <x:row r="902">
      <x:c r="A902" s="17"/>
      <x:c r="B902" s="20"/>
      <x:c r="C902" s="21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22"/>
      <x:c r="O902" s="17"/>
    </x:row>
    <x:row r="903">
      <x:c r="A903" s="17"/>
      <x:c r="B903" s="20"/>
      <x:c r="C903" s="21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22"/>
      <x:c r="O903" s="17"/>
    </x:row>
    <x:row r="904">
      <x:c r="A904" s="17"/>
      <x:c r="B904" s="20"/>
      <x:c r="C904" s="21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22"/>
      <x:c r="O904" s="17"/>
    </x:row>
    <x:row r="905">
      <x:c r="A905" s="17"/>
      <x:c r="B905" s="20"/>
      <x:c r="C905" s="21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22"/>
      <x:c r="O905" s="17"/>
    </x:row>
    <x:row r="906">
      <x:c r="A906" s="17"/>
      <x:c r="B906" s="20"/>
      <x:c r="C906" s="21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22"/>
      <x:c r="O906" s="17"/>
    </x:row>
    <x:row r="907">
      <x:c r="A907" s="17"/>
      <x:c r="B907" s="20"/>
      <x:c r="C907" s="21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22"/>
      <x:c r="O907" s="17"/>
    </x:row>
    <x:row r="908">
      <x:c r="A908" s="17"/>
      <x:c r="B908" s="20"/>
      <x:c r="C908" s="21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22"/>
      <x:c r="O908" s="17"/>
    </x:row>
    <x:row r="909">
      <x:c r="A909" s="17"/>
      <x:c r="B909" s="20"/>
      <x:c r="C909" s="21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22"/>
      <x:c r="O909" s="17"/>
    </x:row>
    <x:row r="910">
      <x:c r="A910" s="17"/>
      <x:c r="B910" s="20"/>
      <x:c r="C910" s="21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22"/>
      <x:c r="O910" s="17"/>
    </x:row>
    <x:row r="911">
      <x:c r="A911" s="17"/>
      <x:c r="B911" s="20"/>
      <x:c r="C911" s="21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22"/>
      <x:c r="O911" s="17"/>
    </x:row>
    <x:row r="912">
      <x:c r="A912" s="17"/>
      <x:c r="B912" s="20"/>
      <x:c r="C912" s="21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22"/>
      <x:c r="O912" s="17"/>
    </x:row>
    <x:row r="913">
      <x:c r="A913" s="17"/>
      <x:c r="B913" s="20"/>
      <x:c r="C913" s="21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22"/>
      <x:c r="O913" s="17"/>
    </x:row>
    <x:row r="914">
      <x:c r="A914" s="17"/>
      <x:c r="B914" s="20"/>
      <x:c r="C914" s="21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22"/>
      <x:c r="O914" s="17"/>
    </x:row>
    <x:row r="915">
      <x:c r="A915" s="17"/>
      <x:c r="B915" s="20"/>
      <x:c r="C915" s="21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22"/>
      <x:c r="O915" s="17"/>
    </x:row>
    <x:row r="916">
      <x:c r="A916" s="17"/>
      <x:c r="B916" s="20"/>
      <x:c r="C916" s="21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22"/>
      <x:c r="O916" s="17"/>
    </x:row>
    <x:row r="917">
      <x:c r="A917" s="17"/>
      <x:c r="B917" s="20"/>
      <x:c r="C917" s="21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22"/>
      <x:c r="O917" s="17"/>
    </x:row>
    <x:row r="918">
      <x:c r="A918" s="17"/>
      <x:c r="B918" s="20"/>
      <x:c r="C918" s="21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22"/>
      <x:c r="O918" s="17"/>
    </x:row>
    <x:row r="919">
      <x:c r="A919" s="17"/>
      <x:c r="B919" s="20"/>
      <x:c r="C919" s="21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22"/>
      <x:c r="O919" s="17"/>
    </x:row>
    <x:row r="920">
      <x:c r="A920" s="17"/>
      <x:c r="B920" s="20"/>
      <x:c r="C920" s="21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22"/>
      <x:c r="O920" s="17"/>
    </x:row>
    <x:row r="921">
      <x:c r="A921" s="17"/>
      <x:c r="B921" s="20"/>
      <x:c r="C921" s="21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22"/>
      <x:c r="O921" s="17"/>
    </x:row>
    <x:row r="922">
      <x:c r="A922" s="17"/>
      <x:c r="B922" s="20"/>
      <x:c r="C922" s="21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22"/>
      <x:c r="O922" s="17"/>
    </x:row>
    <x:row r="923">
      <x:c r="A923" s="17"/>
      <x:c r="B923" s="20"/>
      <x:c r="C923" s="21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22"/>
      <x:c r="O923" s="17"/>
    </x:row>
    <x:row r="924">
      <x:c r="A924" s="17"/>
      <x:c r="B924" s="20"/>
      <x:c r="C924" s="21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22"/>
      <x:c r="O924" s="17"/>
    </x:row>
    <x:row r="925">
      <x:c r="A925" s="17"/>
      <x:c r="B925" s="20"/>
      <x:c r="C925" s="21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22"/>
      <x:c r="O925" s="17"/>
    </x:row>
    <x:row r="926">
      <x:c r="A926" s="17"/>
      <x:c r="B926" s="20"/>
      <x:c r="C926" s="21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22"/>
      <x:c r="O926" s="17"/>
    </x:row>
    <x:row r="927">
      <x:c r="A927" s="17"/>
      <x:c r="B927" s="20"/>
      <x:c r="C927" s="21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22"/>
      <x:c r="O927" s="17"/>
    </x:row>
    <x:row r="928">
      <x:c r="A928" s="17"/>
      <x:c r="B928" s="20"/>
      <x:c r="C928" s="21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22"/>
      <x:c r="O928" s="17"/>
    </x:row>
    <x:row r="929">
      <x:c r="A929" s="17"/>
      <x:c r="B929" s="20"/>
      <x:c r="C929" s="21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22"/>
      <x:c r="O929" s="17"/>
    </x:row>
    <x:row r="930">
      <x:c r="A930" s="17"/>
      <x:c r="B930" s="20"/>
      <x:c r="C930" s="21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22"/>
      <x:c r="O930" s="17"/>
    </x:row>
    <x:row r="931">
      <x:c r="A931" s="17"/>
      <x:c r="B931" s="20"/>
      <x:c r="C931" s="21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22"/>
      <x:c r="O931" s="17"/>
    </x:row>
    <x:row r="932">
      <x:c r="A932" s="17"/>
      <x:c r="B932" s="20"/>
      <x:c r="C932" s="21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22"/>
      <x:c r="O932" s="17"/>
    </x:row>
    <x:row r="933">
      <x:c r="A933" s="17"/>
      <x:c r="B933" s="20"/>
      <x:c r="C933" s="21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22"/>
      <x:c r="O933" s="17"/>
    </x:row>
    <x:row r="934">
      <x:c r="A934" s="17"/>
      <x:c r="B934" s="20"/>
      <x:c r="C934" s="21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22"/>
      <x:c r="O934" s="17"/>
    </x:row>
    <x:row r="935">
      <x:c r="A935" s="17"/>
      <x:c r="B935" s="20"/>
      <x:c r="C935" s="21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22"/>
      <x:c r="O935" s="17"/>
    </x:row>
    <x:row r="936">
      <x:c r="A936" s="17"/>
      <x:c r="B936" s="20"/>
      <x:c r="C936" s="21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22"/>
      <x:c r="O936" s="17"/>
    </x:row>
    <x:row r="937">
      <x:c r="A937" s="17"/>
      <x:c r="B937" s="20"/>
      <x:c r="C937" s="21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22"/>
      <x:c r="O937" s="17"/>
    </x:row>
    <x:row r="938">
      <x:c r="A938" s="17"/>
      <x:c r="B938" s="20"/>
      <x:c r="C938" s="21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22"/>
      <x:c r="O938" s="17"/>
    </x:row>
    <x:row r="939">
      <x:c r="A939" s="17"/>
      <x:c r="B939" s="20"/>
      <x:c r="C939" s="21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22"/>
      <x:c r="O939" s="17"/>
    </x:row>
    <x:row r="940">
      <x:c r="A940" s="17"/>
      <x:c r="B940" s="20"/>
      <x:c r="C940" s="21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22"/>
      <x:c r="O940" s="17"/>
    </x:row>
    <x:row r="941">
      <x:c r="A941" s="17"/>
      <x:c r="B941" s="20"/>
      <x:c r="C941" s="21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22"/>
      <x:c r="O941" s="17"/>
    </x:row>
    <x:row r="942">
      <x:c r="A942" s="17"/>
      <x:c r="B942" s="20"/>
      <x:c r="C942" s="21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22"/>
      <x:c r="O942" s="17"/>
    </x:row>
    <x:row r="943">
      <x:c r="A943" s="17"/>
      <x:c r="B943" s="20"/>
      <x:c r="C943" s="21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22"/>
      <x:c r="O943" s="17"/>
    </x:row>
    <x:row r="944">
      <x:c r="A944" s="17"/>
      <x:c r="B944" s="20"/>
      <x:c r="C944" s="21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22"/>
      <x:c r="O944" s="17"/>
    </x:row>
    <x:row r="945">
      <x:c r="A945" s="17"/>
      <x:c r="B945" s="20"/>
      <x:c r="C945" s="21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22"/>
      <x:c r="O945" s="17"/>
    </x:row>
    <x:row r="946">
      <x:c r="A946" s="17"/>
      <x:c r="B946" s="20"/>
      <x:c r="C946" s="21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22"/>
      <x:c r="O946" s="17"/>
    </x:row>
    <x:row r="947">
      <x:c r="A947" s="17"/>
      <x:c r="B947" s="20"/>
      <x:c r="C947" s="21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22"/>
      <x:c r="O947" s="17"/>
    </x:row>
    <x:row r="948">
      <x:c r="A948" s="17"/>
      <x:c r="B948" s="20"/>
      <x:c r="C948" s="21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22"/>
      <x:c r="O948" s="17"/>
    </x:row>
    <x:row r="949">
      <x:c r="A949" s="17"/>
      <x:c r="B949" s="20"/>
      <x:c r="C949" s="21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22"/>
      <x:c r="O949" s="17"/>
    </x:row>
    <x:row r="950">
      <x:c r="A950" s="17"/>
      <x:c r="B950" s="20"/>
      <x:c r="C950" s="21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22"/>
      <x:c r="O950" s="17"/>
    </x:row>
    <x:row r="951">
      <x:c r="A951" s="17"/>
      <x:c r="B951" s="20"/>
      <x:c r="C951" s="21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22"/>
      <x:c r="O951" s="17"/>
    </x:row>
    <x:row r="952">
      <x:c r="A952" s="17"/>
      <x:c r="B952" s="20"/>
      <x:c r="C952" s="21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22"/>
      <x:c r="O952" s="17"/>
    </x:row>
    <x:row r="953">
      <x:c r="A953" s="17"/>
      <x:c r="B953" s="20"/>
      <x:c r="C953" s="21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22"/>
      <x:c r="O953" s="17"/>
    </x:row>
    <x:row r="954">
      <x:c r="A954" s="17"/>
      <x:c r="B954" s="20"/>
      <x:c r="C954" s="21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22"/>
      <x:c r="O954" s="17"/>
    </x:row>
    <x:row r="955">
      <x:c r="A955" s="17"/>
      <x:c r="B955" s="20"/>
      <x:c r="C955" s="21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22"/>
      <x:c r="O955" s="17"/>
    </x:row>
    <x:row r="956">
      <x:c r="A956" s="17"/>
      <x:c r="B956" s="20"/>
      <x:c r="C956" s="21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22"/>
      <x:c r="O956" s="17"/>
    </x:row>
    <x:row r="957">
      <x:c r="A957" s="17"/>
      <x:c r="B957" s="20"/>
      <x:c r="C957" s="21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22"/>
      <x:c r="O957" s="17"/>
    </x:row>
    <x:row r="958">
      <x:c r="A958" s="17"/>
      <x:c r="B958" s="20"/>
      <x:c r="C958" s="21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22"/>
      <x:c r="O958" s="17"/>
    </x:row>
    <x:row r="959">
      <x:c r="A959" s="17"/>
      <x:c r="B959" s="20"/>
      <x:c r="C959" s="21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22"/>
      <x:c r="O959" s="17"/>
    </x:row>
    <x:row r="960">
      <x:c r="A960" s="17"/>
      <x:c r="B960" s="20"/>
      <x:c r="C960" s="21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22"/>
      <x:c r="O960" s="17"/>
    </x:row>
    <x:row r="961">
      <x:c r="A961" s="17"/>
      <x:c r="B961" s="20"/>
      <x:c r="C961" s="21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22"/>
      <x:c r="O961" s="17"/>
    </x:row>
    <x:row r="962">
      <x:c r="A962" s="17"/>
      <x:c r="B962" s="20"/>
      <x:c r="C962" s="21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22"/>
      <x:c r="O962" s="17"/>
    </x:row>
    <x:row r="963">
      <x:c r="A963" s="17"/>
      <x:c r="B963" s="20"/>
      <x:c r="C963" s="21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22"/>
      <x:c r="O963" s="17"/>
    </x:row>
    <x:row r="964">
      <x:c r="A964" s="17"/>
      <x:c r="B964" s="20"/>
      <x:c r="C964" s="21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22"/>
      <x:c r="O964" s="17"/>
    </x:row>
    <x:row r="965">
      <x:c r="A965" s="17"/>
      <x:c r="B965" s="20"/>
      <x:c r="C965" s="21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22"/>
      <x:c r="O965" s="17"/>
    </x:row>
    <x:row r="966">
      <x:c r="A966" s="17"/>
      <x:c r="B966" s="20"/>
      <x:c r="C966" s="21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22"/>
      <x:c r="O966" s="17"/>
    </x:row>
    <x:row r="967">
      <x:c r="A967" s="17"/>
      <x:c r="B967" s="20"/>
      <x:c r="C967" s="21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22"/>
      <x:c r="O967" s="17"/>
    </x:row>
    <x:row r="968">
      <x:c r="A968" s="17"/>
      <x:c r="B968" s="20"/>
      <x:c r="C968" s="21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22"/>
      <x:c r="O968" s="17"/>
    </x:row>
    <x:row r="969">
      <x:c r="A969" s="17"/>
      <x:c r="B969" s="20"/>
      <x:c r="C969" s="21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22"/>
      <x:c r="O969" s="17"/>
    </x:row>
    <x:row r="970">
      <x:c r="A970" s="17"/>
      <x:c r="B970" s="20"/>
      <x:c r="C970" s="21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22"/>
      <x:c r="O970" s="17"/>
    </x:row>
    <x:row r="971">
      <x:c r="A971" s="17"/>
      <x:c r="B971" s="20"/>
      <x:c r="C971" s="21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22"/>
      <x:c r="O971" s="17"/>
    </x:row>
    <x:row r="972">
      <x:c r="A972" s="17"/>
      <x:c r="B972" s="20"/>
      <x:c r="C972" s="21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22"/>
      <x:c r="O972" s="17"/>
    </x:row>
    <x:row r="973">
      <x:c r="A973" s="17"/>
      <x:c r="B973" s="20"/>
      <x:c r="C973" s="21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22"/>
      <x:c r="O973" s="17"/>
    </x:row>
    <x:row r="974">
      <x:c r="A974" s="17"/>
      <x:c r="B974" s="20"/>
      <x:c r="C974" s="21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22"/>
      <x:c r="O974" s="17"/>
    </x:row>
    <x:row r="975">
      <x:c r="A975" s="17"/>
      <x:c r="B975" s="20"/>
      <x:c r="C975" s="21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22"/>
      <x:c r="O975" s="17"/>
    </x:row>
    <x:row r="976">
      <x:c r="A976" s="17"/>
      <x:c r="B976" s="20"/>
      <x:c r="C976" s="21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22"/>
      <x:c r="O976" s="17"/>
    </x:row>
    <x:row r="977">
      <x:c r="A977" s="17"/>
      <x:c r="B977" s="20"/>
      <x:c r="C977" s="21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22"/>
      <x:c r="O977" s="17"/>
    </x:row>
    <x:row r="978">
      <x:c r="A978" s="17"/>
      <x:c r="B978" s="20"/>
      <x:c r="C978" s="21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22"/>
      <x:c r="O978" s="17"/>
    </x:row>
    <x:row r="979">
      <x:c r="A979" s="17"/>
      <x:c r="B979" s="20"/>
      <x:c r="C979" s="21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22"/>
      <x:c r="O979" s="17"/>
    </x:row>
    <x:row r="980">
      <x:c r="A980" s="17"/>
      <x:c r="B980" s="20"/>
      <x:c r="C980" s="21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22"/>
      <x:c r="O980" s="17"/>
    </x:row>
    <x:row r="981">
      <x:c r="A981" s="17"/>
      <x:c r="B981" s="20"/>
      <x:c r="C981" s="21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22"/>
      <x:c r="O981" s="17"/>
    </x:row>
    <x:row r="982">
      <x:c r="A982" s="17"/>
      <x:c r="B982" s="20"/>
      <x:c r="C982" s="21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22"/>
      <x:c r="O982" s="17"/>
    </x:row>
    <x:row r="983">
      <x:c r="A983" s="17"/>
      <x:c r="B983" s="20"/>
      <x:c r="C983" s="21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22"/>
      <x:c r="O983" s="17"/>
    </x:row>
    <x:row r="984">
      <x:c r="A984" s="17"/>
      <x:c r="B984" s="20"/>
      <x:c r="C984" s="21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22"/>
      <x:c r="O984" s="17"/>
    </x:row>
    <x:row r="985">
      <x:c r="A985" s="17"/>
      <x:c r="B985" s="20"/>
      <x:c r="C985" s="21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22"/>
      <x:c r="O985" s="17"/>
    </x:row>
    <x:row r="986">
      <x:c r="A986" s="17"/>
      <x:c r="B986" s="20"/>
      <x:c r="C986" s="21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22"/>
      <x:c r="O986" s="17"/>
    </x:row>
    <x:row r="987">
      <x:c r="A987" s="17"/>
      <x:c r="B987" s="20"/>
      <x:c r="C987" s="21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22"/>
      <x:c r="O987" s="17"/>
    </x:row>
    <x:row r="988">
      <x:c r="A988" s="17"/>
      <x:c r="B988" s="20"/>
      <x:c r="C988" s="21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22"/>
      <x:c r="O988" s="17"/>
    </x:row>
    <x:row r="989">
      <x:c r="A989" s="17"/>
      <x:c r="B989" s="20"/>
      <x:c r="C989" s="21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22"/>
      <x:c r="O989" s="17"/>
    </x:row>
    <x:row r="990">
      <x:c r="A990" s="17"/>
      <x:c r="B990" s="20"/>
      <x:c r="C990" s="21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22"/>
      <x:c r="O990" s="17"/>
    </x:row>
    <x:row r="991">
      <x:c r="A991" s="17"/>
      <x:c r="B991" s="20"/>
      <x:c r="C991" s="21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22"/>
      <x:c r="O991" s="17"/>
    </x:row>
    <x:row r="992">
      <x:c r="A992" s="17"/>
      <x:c r="B992" s="20"/>
      <x:c r="C992" s="21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22"/>
      <x:c r="O992" s="17"/>
    </x:row>
    <x:row r="993">
      <x:c r="A993" s="17"/>
      <x:c r="B993" s="20"/>
      <x:c r="C993" s="21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22"/>
      <x:c r="O993" s="17"/>
    </x:row>
    <x:row r="994">
      <x:c r="A994" s="17"/>
      <x:c r="B994" s="20"/>
      <x:c r="C994" s="21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22"/>
      <x:c r="O994" s="17"/>
    </x:row>
    <x:row r="995">
      <x:c r="A995" s="17"/>
      <x:c r="B995" s="20"/>
      <x:c r="C995" s="21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22"/>
      <x:c r="O995" s="17"/>
    </x:row>
    <x:row r="996">
      <x:c r="A996" s="17"/>
      <x:c r="B996" s="20"/>
      <x:c r="C996" s="21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22"/>
      <x:c r="O996" s="17"/>
    </x:row>
    <x:row r="997">
      <x:c r="A997" s="17"/>
      <x:c r="B997" s="20"/>
      <x:c r="C997" s="21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22"/>
      <x:c r="O997" s="17"/>
    </x:row>
    <x:row r="998">
      <x:c r="A998" s="17"/>
      <x:c r="B998" s="20"/>
      <x:c r="C998" s="21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22"/>
      <x:c r="O998" s="17"/>
    </x:row>
    <x:row r="999">
      <x:c r="A999" s="17"/>
      <x:c r="B999" s="20"/>
      <x:c r="C999" s="21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22"/>
      <x:c r="O999" s="17"/>
    </x:row>
    <x:row r="1000">
      <x:c r="A1000" s="17"/>
      <x:c r="B1000" s="20"/>
      <x:c r="C1000" s="21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22"/>
      <x:c r="O1000" s="17"/>
    </x:row>
    <x:row r="1001">
      <x:c r="A1001" s="17"/>
      <x:c r="B1001" s="20"/>
      <x:c r="C1001" s="21"/>
      <x:c r="D1001" s="17"/>
      <x:c r="E1001" s="17"/>
      <x:c r="F1001" s="17"/>
      <x:c r="G1001" s="17"/>
      <x:c r="H1001" s="17"/>
      <x:c r="I1001" s="17"/>
      <x:c r="J1001" s="17"/>
      <x:c r="K1001" s="17"/>
      <x:c r="L1001" s="17"/>
      <x:c r="M1001" s="17"/>
      <x:c r="N1001" s="22"/>
      <x:c r="O1001" s="17"/>
    </x:row>
    <x:row r="1002">
      <x:c r="A1002" s="17"/>
      <x:c r="B1002" s="20"/>
      <x:c r="C1002" s="21"/>
      <x:c r="D1002" s="17"/>
      <x:c r="E1002" s="17"/>
      <x:c r="F1002" s="17"/>
      <x:c r="G1002" s="17"/>
      <x:c r="H1002" s="17"/>
      <x:c r="I1002" s="17"/>
      <x:c r="J1002" s="17"/>
      <x:c r="K1002" s="17"/>
      <x:c r="L1002" s="17"/>
      <x:c r="M1002" s="17"/>
      <x:c r="N1002" s="22"/>
      <x:c r="O1002" s="17"/>
    </x:row>
    <x:row r="1003">
      <x:c r="A1003" s="17"/>
      <x:c r="B1003" s="20"/>
      <x:c r="C1003" s="21"/>
      <x:c r="D1003" s="17"/>
      <x:c r="E1003" s="17"/>
      <x:c r="F1003" s="17"/>
      <x:c r="G1003" s="17"/>
      <x:c r="H1003" s="17"/>
      <x:c r="I1003" s="17"/>
      <x:c r="J1003" s="17"/>
      <x:c r="K1003" s="17"/>
      <x:c r="L1003" s="17"/>
      <x:c r="M1003" s="17"/>
      <x:c r="N1003" s="22"/>
      <x:c r="O1003" s="17"/>
    </x:row>
    <x:row r="1004">
      <x:c r="A1004" s="17"/>
      <x:c r="B1004" s="20"/>
      <x:c r="C1004" s="21"/>
      <x:c r="D1004" s="17"/>
      <x:c r="E1004" s="17"/>
      <x:c r="F1004" s="17"/>
      <x:c r="G1004" s="17"/>
      <x:c r="H1004" s="17"/>
      <x:c r="I1004" s="17"/>
      <x:c r="J1004" s="17"/>
      <x:c r="K1004" s="17"/>
      <x:c r="L1004" s="17"/>
      <x:c r="M1004" s="17"/>
      <x:c r="N1004" s="22"/>
      <x:c r="O1004" s="17"/>
    </x:row>
    <x:row r="1005">
      <x:c r="A1005" s="17"/>
      <x:c r="B1005" s="20"/>
      <x:c r="C1005" s="21"/>
      <x:c r="D1005" s="17"/>
      <x:c r="E1005" s="17"/>
      <x:c r="F1005" s="17"/>
      <x:c r="G1005" s="17"/>
      <x:c r="H1005" s="17"/>
      <x:c r="I1005" s="17"/>
      <x:c r="J1005" s="17"/>
      <x:c r="K1005" s="17"/>
      <x:c r="L1005" s="17"/>
      <x:c r="M1005" s="17"/>
      <x:c r="N1005" s="22"/>
      <x:c r="O1005" s="17"/>
    </x:row>
    <x:row r="1006">
      <x:c r="A1006" s="17"/>
      <x:c r="B1006" s="20"/>
      <x:c r="C1006" s="21"/>
      <x:c r="D1006" s="17"/>
      <x:c r="E1006" s="17"/>
      <x:c r="F1006" s="17"/>
      <x:c r="G1006" s="17"/>
      <x:c r="H1006" s="17"/>
      <x:c r="I1006" s="17"/>
      <x:c r="J1006" s="17"/>
      <x:c r="K1006" s="17"/>
      <x:c r="L1006" s="17"/>
      <x:c r="M1006" s="17"/>
      <x:c r="N1006" s="22"/>
      <x:c r="O1006" s="17"/>
    </x:row>
    <x:row r="1007">
      <x:c r="A1007" s="17"/>
      <x:c r="B1007" s="20"/>
      <x:c r="C1007" s="21"/>
      <x:c r="D1007" s="17"/>
      <x:c r="E1007" s="17"/>
      <x:c r="F1007" s="17"/>
      <x:c r="G1007" s="17"/>
      <x:c r="H1007" s="17"/>
      <x:c r="I1007" s="17"/>
      <x:c r="J1007" s="17"/>
      <x:c r="K1007" s="17"/>
      <x:c r="L1007" s="17"/>
      <x:c r="M1007" s="17"/>
      <x:c r="N1007" s="22"/>
      <x:c r="O1007" s="17"/>
    </x:row>
    <x:row r="1008">
      <x:c r="A1008" s="17"/>
      <x:c r="B1008" s="20"/>
      <x:c r="C1008" s="21"/>
      <x:c r="D1008" s="17"/>
      <x:c r="E1008" s="17"/>
      <x:c r="F1008" s="17"/>
      <x:c r="G1008" s="17"/>
      <x:c r="H1008" s="17"/>
      <x:c r="I1008" s="17"/>
      <x:c r="J1008" s="17"/>
      <x:c r="K1008" s="17"/>
      <x:c r="L1008" s="17"/>
      <x:c r="M1008" s="17"/>
      <x:c r="N1008" s="22"/>
      <x:c r="O1008" s="17"/>
    </x:row>
    <x:row r="1009">
      <x:c r="A1009" s="17"/>
      <x:c r="B1009" s="20"/>
      <x:c r="C1009" s="21"/>
      <x:c r="D1009" s="17"/>
      <x:c r="E1009" s="17"/>
      <x:c r="F1009" s="17"/>
      <x:c r="G1009" s="17"/>
      <x:c r="H1009" s="17"/>
      <x:c r="I1009" s="17"/>
      <x:c r="J1009" s="17"/>
      <x:c r="K1009" s="17"/>
      <x:c r="L1009" s="17"/>
      <x:c r="M1009" s="17"/>
      <x:c r="N1009" s="22"/>
      <x:c r="O1009" s="17"/>
    </x:row>
    <x:row r="1010">
      <x:c r="A1010" s="17"/>
      <x:c r="B1010" s="20"/>
      <x:c r="C1010" s="21"/>
      <x:c r="D1010" s="17"/>
      <x:c r="E1010" s="17"/>
      <x:c r="F1010" s="17"/>
      <x:c r="G1010" s="17"/>
      <x:c r="H1010" s="17"/>
      <x:c r="I1010" s="17"/>
      <x:c r="J1010" s="17"/>
      <x:c r="K1010" s="17"/>
      <x:c r="L1010" s="17"/>
      <x:c r="M1010" s="17"/>
      <x:c r="N1010" s="22"/>
      <x:c r="O1010" s="17"/>
    </x:row>
    <x:row r="1011">
      <x:c r="A1011" s="17"/>
      <x:c r="B1011" s="20"/>
      <x:c r="C1011" s="21"/>
      <x:c r="D1011" s="17"/>
      <x:c r="E1011" s="17"/>
      <x:c r="F1011" s="17"/>
      <x:c r="G1011" s="17"/>
      <x:c r="H1011" s="17"/>
      <x:c r="I1011" s="17"/>
      <x:c r="J1011" s="17"/>
      <x:c r="K1011" s="17"/>
      <x:c r="L1011" s="17"/>
      <x:c r="M1011" s="17"/>
      <x:c r="N1011" s="22"/>
      <x:c r="O1011" s="17"/>
    </x:row>
    <x:row r="1012">
      <x:c r="A1012" s="17"/>
      <x:c r="B1012" s="20"/>
      <x:c r="C1012" s="21"/>
      <x:c r="D1012" s="17"/>
      <x:c r="E1012" s="17"/>
      <x:c r="F1012" s="17"/>
      <x:c r="G1012" s="17"/>
      <x:c r="H1012" s="17"/>
      <x:c r="I1012" s="17"/>
      <x:c r="J1012" s="17"/>
      <x:c r="K1012" s="17"/>
      <x:c r="L1012" s="17"/>
      <x:c r="M1012" s="17"/>
      <x:c r="N1012" s="22"/>
      <x:c r="O1012" s="17"/>
    </x:row>
    <x:row r="1013">
      <x:c r="A1013" s="17"/>
      <x:c r="B1013" s="20"/>
      <x:c r="C1013" s="21"/>
      <x:c r="D1013" s="17"/>
      <x:c r="E1013" s="17"/>
      <x:c r="F1013" s="17"/>
      <x:c r="G1013" s="17"/>
      <x:c r="H1013" s="17"/>
      <x:c r="I1013" s="17"/>
      <x:c r="J1013" s="17"/>
      <x:c r="K1013" s="17"/>
      <x:c r="L1013" s="17"/>
      <x:c r="M1013" s="17"/>
      <x:c r="N1013" s="22"/>
      <x:c r="O1013" s="17"/>
    </x:row>
    <x:row r="1014">
      <x:c r="A1014" s="17"/>
      <x:c r="B1014" s="20"/>
      <x:c r="C1014" s="21"/>
      <x:c r="D1014" s="17"/>
      <x:c r="E1014" s="17"/>
      <x:c r="F1014" s="17"/>
      <x:c r="G1014" s="17"/>
      <x:c r="H1014" s="17"/>
      <x:c r="I1014" s="17"/>
      <x:c r="J1014" s="17"/>
      <x:c r="K1014" s="17"/>
      <x:c r="L1014" s="17"/>
      <x:c r="M1014" s="17"/>
      <x:c r="N1014" s="22"/>
      <x:c r="O1014" s="17"/>
    </x:row>
    <x:row r="1015">
      <x:c r="A1015" s="17"/>
      <x:c r="B1015" s="20"/>
      <x:c r="C1015" s="21"/>
      <x:c r="D1015" s="17"/>
      <x:c r="E1015" s="17"/>
      <x:c r="F1015" s="17"/>
      <x:c r="G1015" s="17"/>
      <x:c r="H1015" s="17"/>
      <x:c r="I1015" s="17"/>
      <x:c r="J1015" s="17"/>
      <x:c r="K1015" s="17"/>
      <x:c r="L1015" s="17"/>
      <x:c r="M1015" s="17"/>
      <x:c r="N1015" s="22"/>
      <x:c r="O1015" s="17"/>
    </x:row>
    <x:row r="1016">
      <x:c r="A1016" s="17"/>
      <x:c r="B1016" s="20"/>
      <x:c r="C1016" s="21"/>
      <x:c r="D1016" s="17"/>
      <x:c r="E1016" s="17"/>
      <x:c r="F1016" s="17"/>
      <x:c r="G1016" s="17"/>
      <x:c r="H1016" s="17"/>
      <x:c r="I1016" s="17"/>
      <x:c r="J1016" s="17"/>
      <x:c r="K1016" s="17"/>
      <x:c r="L1016" s="17"/>
      <x:c r="M1016" s="17"/>
      <x:c r="N1016" s="22"/>
      <x:c r="O1016" s="17"/>
    </x:row>
    <x:row r="1017">
      <x:c r="A1017" s="17"/>
      <x:c r="B1017" s="20"/>
      <x:c r="C1017" s="21"/>
      <x:c r="D1017" s="17"/>
      <x:c r="E1017" s="17"/>
      <x:c r="F1017" s="17"/>
      <x:c r="G1017" s="17"/>
      <x:c r="H1017" s="17"/>
      <x:c r="I1017" s="17"/>
      <x:c r="J1017" s="17"/>
      <x:c r="K1017" s="17"/>
      <x:c r="L1017" s="17"/>
      <x:c r="M1017" s="17"/>
      <x:c r="N1017" s="22"/>
      <x:c r="O1017" s="17"/>
    </x:row>
    <x:row r="1018">
      <x:c r="A1018" s="17"/>
      <x:c r="B1018" s="20"/>
      <x:c r="C1018" s="21"/>
      <x:c r="D1018" s="17"/>
      <x:c r="E1018" s="17"/>
      <x:c r="F1018" s="17"/>
      <x:c r="G1018" s="17"/>
      <x:c r="H1018" s="17"/>
      <x:c r="I1018" s="17"/>
      <x:c r="J1018" s="17"/>
      <x:c r="K1018" s="17"/>
      <x:c r="L1018" s="17"/>
      <x:c r="M1018" s="17"/>
      <x:c r="N1018" s="22"/>
      <x:c r="O1018" s="17"/>
    </x:row>
    <x:row r="1019">
      <x:c r="A1019" s="17"/>
      <x:c r="B1019" s="20"/>
      <x:c r="C1019" s="21"/>
      <x:c r="D1019" s="17"/>
      <x:c r="E1019" s="17"/>
      <x:c r="F1019" s="17"/>
      <x:c r="G1019" s="17"/>
      <x:c r="H1019" s="17"/>
      <x:c r="I1019" s="17"/>
      <x:c r="J1019" s="17"/>
      <x:c r="K1019" s="17"/>
      <x:c r="L1019" s="17"/>
      <x:c r="M1019" s="17"/>
      <x:c r="N1019" s="22"/>
      <x:c r="O1019" s="17"/>
    </x:row>
    <x:row r="1020">
      <x:c r="A1020" s="17"/>
      <x:c r="B1020" s="20"/>
      <x:c r="C1020" s="21"/>
      <x:c r="D1020" s="17"/>
      <x:c r="E1020" s="17"/>
      <x:c r="F1020" s="17"/>
      <x:c r="G1020" s="17"/>
      <x:c r="H1020" s="17"/>
      <x:c r="I1020" s="17"/>
      <x:c r="J1020" s="17"/>
      <x:c r="K1020" s="17"/>
      <x:c r="L1020" s="17"/>
      <x:c r="M1020" s="17"/>
      <x:c r="N1020" s="22"/>
      <x:c r="O1020" s="17"/>
    </x:row>
    <x:row r="1021">
      <x:c r="A1021" s="17"/>
      <x:c r="B1021" s="20"/>
      <x:c r="C1021" s="21"/>
      <x:c r="D1021" s="17"/>
      <x:c r="E1021" s="17"/>
      <x:c r="F1021" s="17"/>
      <x:c r="G1021" s="17"/>
      <x:c r="H1021" s="17"/>
      <x:c r="I1021" s="17"/>
      <x:c r="J1021" s="17"/>
      <x:c r="K1021" s="17"/>
      <x:c r="L1021" s="17"/>
      <x:c r="M1021" s="17"/>
      <x:c r="N1021" s="22"/>
      <x:c r="O1021" s="17"/>
    </x:row>
    <x:row r="1022">
      <x:c r="A1022" s="17"/>
      <x:c r="B1022" s="20"/>
      <x:c r="C1022" s="21"/>
      <x:c r="D1022" s="17"/>
      <x:c r="E1022" s="17"/>
      <x:c r="F1022" s="17"/>
      <x:c r="G1022" s="17"/>
      <x:c r="H1022" s="17"/>
      <x:c r="I1022" s="17"/>
      <x:c r="J1022" s="17"/>
      <x:c r="K1022" s="17"/>
      <x:c r="L1022" s="17"/>
      <x:c r="M1022" s="17"/>
      <x:c r="N1022" s="22"/>
      <x:c r="O1022" s="17"/>
    </x:row>
    <x:row r="1023">
      <x:c r="A1023" s="17"/>
      <x:c r="B1023" s="20"/>
      <x:c r="C1023" s="21"/>
      <x:c r="D1023" s="17"/>
      <x:c r="E1023" s="17"/>
      <x:c r="F1023" s="17"/>
      <x:c r="G1023" s="17"/>
      <x:c r="H1023" s="17"/>
      <x:c r="I1023" s="17"/>
      <x:c r="J1023" s="17"/>
      <x:c r="K1023" s="17"/>
      <x:c r="L1023" s="17"/>
      <x:c r="M1023" s="17"/>
      <x:c r="N1023" s="22"/>
      <x:c r="O1023" s="17"/>
    </x:row>
    <x:row r="1024">
      <x:c r="A1024" s="17"/>
      <x:c r="B1024" s="20"/>
      <x:c r="C1024" s="21"/>
      <x:c r="D1024" s="17"/>
      <x:c r="E1024" s="17"/>
      <x:c r="F1024" s="17"/>
      <x:c r="G1024" s="17"/>
      <x:c r="H1024" s="17"/>
      <x:c r="I1024" s="17"/>
      <x:c r="J1024" s="17"/>
      <x:c r="K1024" s="17"/>
      <x:c r="L1024" s="17"/>
      <x:c r="M1024" s="17"/>
      <x:c r="N1024" s="22"/>
      <x:c r="O1024" s="17"/>
    </x:row>
    <x:row r="1025">
      <x:c r="A1025" s="17"/>
      <x:c r="B1025" s="20"/>
      <x:c r="C1025" s="21"/>
      <x:c r="D1025" s="17"/>
      <x:c r="E1025" s="17"/>
      <x:c r="F1025" s="17"/>
      <x:c r="G1025" s="17"/>
      <x:c r="H1025" s="17"/>
      <x:c r="I1025" s="17"/>
      <x:c r="J1025" s="17"/>
      <x:c r="K1025" s="17"/>
      <x:c r="L1025" s="17"/>
      <x:c r="M1025" s="17"/>
      <x:c r="N1025" s="22"/>
      <x:c r="O1025" s="17"/>
    </x:row>
    <x:row r="1026">
      <x:c r="A1026" s="17"/>
      <x:c r="B1026" s="20"/>
      <x:c r="C1026" s="21"/>
      <x:c r="D1026" s="17"/>
      <x:c r="E1026" s="17"/>
      <x:c r="F1026" s="17"/>
      <x:c r="G1026" s="17"/>
      <x:c r="H1026" s="17"/>
      <x:c r="I1026" s="17"/>
      <x:c r="J1026" s="17"/>
      <x:c r="K1026" s="17"/>
      <x:c r="L1026" s="17"/>
      <x:c r="M1026" s="17"/>
      <x:c r="N1026" s="22"/>
      <x:c r="O1026" s="17"/>
    </x:row>
    <x:row r="1027">
      <x:c r="A1027" s="17"/>
      <x:c r="B1027" s="20"/>
      <x:c r="C1027" s="21"/>
      <x:c r="D1027" s="17"/>
      <x:c r="E1027" s="17"/>
      <x:c r="F1027" s="17"/>
      <x:c r="G1027" s="17"/>
      <x:c r="H1027" s="17"/>
      <x:c r="I1027" s="17"/>
      <x:c r="J1027" s="17"/>
      <x:c r="K1027" s="17"/>
      <x:c r="L1027" s="17"/>
      <x:c r="M1027" s="17"/>
      <x:c r="N1027" s="22"/>
      <x:c r="O1027" s="17"/>
    </x:row>
    <x:row r="1028">
      <x:c r="A1028" s="17"/>
      <x:c r="B1028" s="20"/>
      <x:c r="C1028" s="21"/>
      <x:c r="D1028" s="17"/>
      <x:c r="E1028" s="17"/>
      <x:c r="F1028" s="17"/>
      <x:c r="G1028" s="17"/>
      <x:c r="H1028" s="17"/>
      <x:c r="I1028" s="17"/>
      <x:c r="J1028" s="17"/>
      <x:c r="K1028" s="17"/>
      <x:c r="L1028" s="17"/>
      <x:c r="M1028" s="17"/>
      <x:c r="N1028" s="22"/>
      <x:c r="O1028" s="17"/>
    </x:row>
    <x:row r="1029">
      <x:c r="A1029" s="17"/>
      <x:c r="B1029" s="20"/>
      <x:c r="C1029" s="21"/>
      <x:c r="D1029" s="17"/>
      <x:c r="E1029" s="17"/>
      <x:c r="F1029" s="17"/>
      <x:c r="G1029" s="17"/>
      <x:c r="H1029" s="17"/>
      <x:c r="I1029" s="17"/>
      <x:c r="J1029" s="17"/>
      <x:c r="K1029" s="17"/>
      <x:c r="L1029" s="17"/>
      <x:c r="M1029" s="17"/>
      <x:c r="N1029" s="22"/>
      <x:c r="O1029" s="17"/>
    </x:row>
    <x:row r="1030">
      <x:c r="A1030" s="17"/>
      <x:c r="B1030" s="20"/>
      <x:c r="C1030" s="21"/>
      <x:c r="D1030" s="17"/>
      <x:c r="E1030" s="17"/>
      <x:c r="F1030" s="17"/>
      <x:c r="G1030" s="17"/>
      <x:c r="H1030" s="17"/>
      <x:c r="I1030" s="17"/>
      <x:c r="J1030" s="17"/>
      <x:c r="K1030" s="17"/>
      <x:c r="L1030" s="17"/>
      <x:c r="M1030" s="17"/>
      <x:c r="N1030" s="22"/>
      <x:c r="O1030" s="17"/>
    </x:row>
    <x:row r="1031">
      <x:c r="A1031" s="17"/>
      <x:c r="B1031" s="20"/>
      <x:c r="C1031" s="21"/>
      <x:c r="D1031" s="17"/>
      <x:c r="E1031" s="17"/>
      <x:c r="F1031" s="17"/>
      <x:c r="G1031" s="17"/>
      <x:c r="H1031" s="17"/>
      <x:c r="I1031" s="17"/>
      <x:c r="J1031" s="17"/>
      <x:c r="K1031" s="17"/>
      <x:c r="L1031" s="17"/>
      <x:c r="M1031" s="17"/>
      <x:c r="N1031" s="22"/>
      <x:c r="O1031" s="17"/>
    </x:row>
    <x:row r="1032">
      <x:c r="A1032" s="17"/>
      <x:c r="B1032" s="20"/>
      <x:c r="C1032" s="21"/>
      <x:c r="D1032" s="17"/>
      <x:c r="E1032" s="17"/>
      <x:c r="F1032" s="17"/>
      <x:c r="G1032" s="17"/>
      <x:c r="H1032" s="17"/>
      <x:c r="I1032" s="17"/>
      <x:c r="J1032" s="17"/>
      <x:c r="K1032" s="17"/>
      <x:c r="L1032" s="17"/>
      <x:c r="M1032" s="17"/>
      <x:c r="N1032" s="22"/>
      <x:c r="O1032" s="17"/>
    </x:row>
    <x:row r="1033">
      <x:c r="A1033" s="17"/>
      <x:c r="B1033" s="20"/>
      <x:c r="C1033" s="21"/>
      <x:c r="D1033" s="17"/>
      <x:c r="E1033" s="17"/>
      <x:c r="F1033" s="17"/>
      <x:c r="G1033" s="17"/>
      <x:c r="H1033" s="17"/>
      <x:c r="I1033" s="17"/>
      <x:c r="J1033" s="17"/>
      <x:c r="K1033" s="17"/>
      <x:c r="L1033" s="17"/>
      <x:c r="M1033" s="17"/>
      <x:c r="N1033" s="22"/>
      <x:c r="O1033" s="17"/>
    </x:row>
    <x:row r="1034">
      <x:c r="A1034" s="17"/>
      <x:c r="B1034" s="20"/>
      <x:c r="C1034" s="21"/>
      <x:c r="D1034" s="17"/>
      <x:c r="E1034" s="17"/>
      <x:c r="F1034" s="17"/>
      <x:c r="G1034" s="17"/>
      <x:c r="H1034" s="17"/>
      <x:c r="I1034" s="17"/>
      <x:c r="J1034" s="17"/>
      <x:c r="K1034" s="17"/>
      <x:c r="L1034" s="17"/>
      <x:c r="M1034" s="17"/>
      <x:c r="N1034" s="22"/>
      <x:c r="O1034" s="17"/>
    </x:row>
    <x:row r="1035">
      <x:c r="A1035" s="17"/>
      <x:c r="B1035" s="20"/>
      <x:c r="C1035" s="21"/>
      <x:c r="D1035" s="17"/>
      <x:c r="E1035" s="17"/>
      <x:c r="F1035" s="17"/>
      <x:c r="G1035" s="17"/>
      <x:c r="H1035" s="17"/>
      <x:c r="I1035" s="17"/>
      <x:c r="J1035" s="17"/>
      <x:c r="K1035" s="17"/>
      <x:c r="L1035" s="17"/>
      <x:c r="M1035" s="17"/>
      <x:c r="N1035" s="22"/>
      <x:c r="O1035" s="17"/>
    </x:row>
    <x:row r="1036">
      <x:c r="A1036" s="17"/>
      <x:c r="B1036" s="20"/>
      <x:c r="C1036" s="21"/>
      <x:c r="D1036" s="17"/>
      <x:c r="E1036" s="17"/>
      <x:c r="F1036" s="17"/>
      <x:c r="G1036" s="17"/>
      <x:c r="H1036" s="17"/>
      <x:c r="I1036" s="17"/>
      <x:c r="J1036" s="17"/>
      <x:c r="K1036" s="17"/>
      <x:c r="L1036" s="17"/>
      <x:c r="M1036" s="17"/>
      <x:c r="N1036" s="22"/>
      <x:c r="O1036" s="17"/>
    </x:row>
    <x:row r="1037">
      <x:c r="A1037" s="17"/>
      <x:c r="B1037" s="20"/>
      <x:c r="C1037" s="21"/>
      <x:c r="D1037" s="17"/>
      <x:c r="E1037" s="17"/>
      <x:c r="F1037" s="17"/>
      <x:c r="G1037" s="17"/>
      <x:c r="H1037" s="17"/>
      <x:c r="I1037" s="17"/>
      <x:c r="J1037" s="17"/>
      <x:c r="K1037" s="17"/>
      <x:c r="L1037" s="17"/>
      <x:c r="M1037" s="17"/>
      <x:c r="N1037" s="22"/>
      <x:c r="O1037" s="17"/>
    </x:row>
    <x:row r="1038">
      <x:c r="A1038" s="17"/>
      <x:c r="B1038" s="20"/>
      <x:c r="C1038" s="21"/>
      <x:c r="D1038" s="17"/>
      <x:c r="E1038" s="17"/>
      <x:c r="F1038" s="17"/>
      <x:c r="G1038" s="17"/>
      <x:c r="H1038" s="17"/>
      <x:c r="I1038" s="17"/>
      <x:c r="J1038" s="17"/>
      <x:c r="K1038" s="17"/>
      <x:c r="L1038" s="17"/>
      <x:c r="M1038" s="17"/>
      <x:c r="N1038" s="22"/>
      <x:c r="O1038" s="17"/>
    </x:row>
    <x:row r="1039">
      <x:c r="A1039" s="17"/>
      <x:c r="B1039" s="20"/>
      <x:c r="C1039" s="21"/>
      <x:c r="D1039" s="17"/>
      <x:c r="E1039" s="17"/>
      <x:c r="F1039" s="17"/>
      <x:c r="G1039" s="17"/>
      <x:c r="H1039" s="17"/>
      <x:c r="I1039" s="17"/>
      <x:c r="J1039" s="17"/>
      <x:c r="K1039" s="17"/>
      <x:c r="L1039" s="17"/>
      <x:c r="M1039" s="17"/>
      <x:c r="N1039" s="22"/>
      <x:c r="O1039" s="17"/>
    </x:row>
    <x:row r="1040">
      <x:c r="A1040" s="17"/>
      <x:c r="B1040" s="20"/>
      <x:c r="C1040" s="21"/>
      <x:c r="D1040" s="17"/>
      <x:c r="E1040" s="17"/>
      <x:c r="F1040" s="17"/>
      <x:c r="G1040" s="17"/>
      <x:c r="H1040" s="17"/>
      <x:c r="I1040" s="17"/>
      <x:c r="J1040" s="17"/>
      <x:c r="K1040" s="17"/>
      <x:c r="L1040" s="17"/>
      <x:c r="M1040" s="17"/>
      <x:c r="N1040" s="22"/>
      <x:c r="O1040" s="17"/>
    </x:row>
    <x:row r="1041">
      <x:c r="A1041" s="17"/>
      <x:c r="B1041" s="20"/>
      <x:c r="C1041" s="21"/>
      <x:c r="D1041" s="17"/>
      <x:c r="E1041" s="17"/>
      <x:c r="F1041" s="17"/>
      <x:c r="G1041" s="17"/>
      <x:c r="H1041" s="17"/>
      <x:c r="I1041" s="17"/>
      <x:c r="J1041" s="17"/>
      <x:c r="K1041" s="17"/>
      <x:c r="L1041" s="17"/>
      <x:c r="M1041" s="17"/>
      <x:c r="N1041" s="22"/>
      <x:c r="O1041" s="17"/>
    </x:row>
    <x:row r="1042">
      <x:c r="A1042" s="17"/>
      <x:c r="B1042" s="20"/>
      <x:c r="C1042" s="21"/>
      <x:c r="D1042" s="17"/>
      <x:c r="E1042" s="17"/>
      <x:c r="F1042" s="17"/>
      <x:c r="G1042" s="17"/>
      <x:c r="H1042" s="17"/>
      <x:c r="I1042" s="17"/>
      <x:c r="J1042" s="17"/>
      <x:c r="K1042" s="17"/>
      <x:c r="L1042" s="17"/>
      <x:c r="M1042" s="17"/>
      <x:c r="N1042" s="22"/>
      <x:c r="O1042" s="17"/>
    </x:row>
    <x:row r="1043">
      <x:c r="A1043" s="17"/>
      <x:c r="B1043" s="20"/>
      <x:c r="C1043" s="21"/>
      <x:c r="D1043" s="17"/>
      <x:c r="E1043" s="17"/>
      <x:c r="F1043" s="17"/>
      <x:c r="G1043" s="17"/>
      <x:c r="H1043" s="17"/>
      <x:c r="I1043" s="17"/>
      <x:c r="J1043" s="17"/>
      <x:c r="K1043" s="17"/>
      <x:c r="L1043" s="17"/>
      <x:c r="M1043" s="17"/>
      <x:c r="N1043" s="22"/>
      <x:c r="O1043" s="17"/>
    </x:row>
    <x:row r="1044">
      <x:c r="A1044" s="17"/>
      <x:c r="B1044" s="20"/>
      <x:c r="C1044" s="21"/>
      <x:c r="D1044" s="17"/>
      <x:c r="E1044" s="17"/>
      <x:c r="F1044" s="17"/>
      <x:c r="G1044" s="17"/>
      <x:c r="H1044" s="17"/>
      <x:c r="I1044" s="17"/>
      <x:c r="J1044" s="17"/>
      <x:c r="K1044" s="17"/>
      <x:c r="L1044" s="17"/>
      <x:c r="M1044" s="17"/>
      <x:c r="N1044" s="22"/>
      <x:c r="O1044" s="17"/>
    </x:row>
    <x:row r="1045">
      <x:c r="A1045" s="17"/>
      <x:c r="B1045" s="20"/>
      <x:c r="C1045" s="21"/>
      <x:c r="D1045" s="17"/>
      <x:c r="E1045" s="17"/>
      <x:c r="F1045" s="17"/>
      <x:c r="G1045" s="17"/>
      <x:c r="H1045" s="17"/>
      <x:c r="I1045" s="17"/>
      <x:c r="J1045" s="17"/>
      <x:c r="K1045" s="17"/>
      <x:c r="L1045" s="17"/>
      <x:c r="M1045" s="17"/>
      <x:c r="N1045" s="22"/>
      <x:c r="O1045" s="17"/>
    </x:row>
    <x:row r="1046">
      <x:c r="A1046" s="17"/>
      <x:c r="B1046" s="20"/>
      <x:c r="C1046" s="21"/>
      <x:c r="D1046" s="17"/>
      <x:c r="E1046" s="17"/>
      <x:c r="F1046" s="17"/>
      <x:c r="G1046" s="17"/>
      <x:c r="H1046" s="17"/>
      <x:c r="I1046" s="17"/>
      <x:c r="J1046" s="17"/>
      <x:c r="K1046" s="17"/>
      <x:c r="L1046" s="17"/>
      <x:c r="M1046" s="17"/>
      <x:c r="N1046" s="22"/>
      <x:c r="O1046" s="17"/>
    </x:row>
    <x:row r="1047">
      <x:c r="A1047" s="17"/>
      <x:c r="B1047" s="20"/>
      <x:c r="C1047" s="21"/>
      <x:c r="D1047" s="17"/>
      <x:c r="E1047" s="17"/>
      <x:c r="F1047" s="17"/>
      <x:c r="G1047" s="17"/>
      <x:c r="H1047" s="17"/>
      <x:c r="I1047" s="17"/>
      <x:c r="J1047" s="17"/>
      <x:c r="K1047" s="17"/>
      <x:c r="L1047" s="17"/>
      <x:c r="M1047" s="17"/>
      <x:c r="N1047" s="22"/>
      <x:c r="O1047" s="17"/>
    </x:row>
    <x:row r="1048">
      <x:c r="A1048" s="17"/>
      <x:c r="B1048" s="20"/>
      <x:c r="C1048" s="21"/>
      <x:c r="D1048" s="17"/>
      <x:c r="E1048" s="17"/>
      <x:c r="F1048" s="17"/>
      <x:c r="G1048" s="17"/>
      <x:c r="H1048" s="17"/>
      <x:c r="I1048" s="17"/>
      <x:c r="J1048" s="17"/>
      <x:c r="K1048" s="17"/>
      <x:c r="L1048" s="17"/>
      <x:c r="M1048" s="17"/>
      <x:c r="N1048" s="22"/>
      <x:c r="O1048" s="17"/>
    </x:row>
    <x:row r="1049">
      <x:c r="A1049" s="17"/>
      <x:c r="B1049" s="20"/>
      <x:c r="C1049" s="21"/>
      <x:c r="D1049" s="17"/>
      <x:c r="E1049" s="17"/>
      <x:c r="F1049" s="17"/>
      <x:c r="G1049" s="17"/>
      <x:c r="H1049" s="17"/>
      <x:c r="I1049" s="17"/>
      <x:c r="J1049" s="17"/>
      <x:c r="K1049" s="17"/>
      <x:c r="L1049" s="17"/>
      <x:c r="M1049" s="17"/>
      <x:c r="N1049" s="22"/>
      <x:c r="O1049" s="17"/>
    </x:row>
    <x:row r="1050">
      <x:c r="A1050" s="17"/>
      <x:c r="B1050" s="20"/>
      <x:c r="C1050" s="21"/>
      <x:c r="D1050" s="17"/>
      <x:c r="E1050" s="17"/>
      <x:c r="F1050" s="17"/>
      <x:c r="G1050" s="17"/>
      <x:c r="H1050" s="17"/>
      <x:c r="I1050" s="17"/>
      <x:c r="J1050" s="17"/>
      <x:c r="K1050" s="17"/>
      <x:c r="L1050" s="17"/>
      <x:c r="M1050" s="17"/>
      <x:c r="N1050" s="22"/>
      <x:c r="O1050" s="17"/>
    </x:row>
    <x:row r="1051">
      <x:c r="A1051" s="17"/>
      <x:c r="B1051" s="20"/>
      <x:c r="C1051" s="21"/>
      <x:c r="D1051" s="17"/>
      <x:c r="E1051" s="17"/>
      <x:c r="F1051" s="17"/>
      <x:c r="G1051" s="17"/>
      <x:c r="H1051" s="17"/>
      <x:c r="I1051" s="17"/>
      <x:c r="J1051" s="17"/>
      <x:c r="K1051" s="17"/>
      <x:c r="L1051" s="17"/>
      <x:c r="M1051" s="17"/>
      <x:c r="N1051" s="22"/>
      <x:c r="O1051" s="17"/>
    </x:row>
    <x:row r="1052">
      <x:c r="A1052" s="17"/>
      <x:c r="B1052" s="20"/>
      <x:c r="C1052" s="21"/>
      <x:c r="D1052" s="17"/>
      <x:c r="E1052" s="17"/>
      <x:c r="F1052" s="17"/>
      <x:c r="G1052" s="17"/>
      <x:c r="H1052" s="17"/>
      <x:c r="I1052" s="17"/>
      <x:c r="J1052" s="17"/>
      <x:c r="K1052" s="17"/>
      <x:c r="L1052" s="17"/>
      <x:c r="M1052" s="17"/>
      <x:c r="N1052" s="22"/>
      <x:c r="O1052" s="17"/>
    </x:row>
    <x:row r="1053">
      <x:c r="A1053" s="17"/>
      <x:c r="B1053" s="20"/>
      <x:c r="C1053" s="21"/>
      <x:c r="D1053" s="17"/>
      <x:c r="E1053" s="17"/>
      <x:c r="F1053" s="17"/>
      <x:c r="G1053" s="17"/>
      <x:c r="H1053" s="17"/>
      <x:c r="I1053" s="17"/>
      <x:c r="J1053" s="17"/>
      <x:c r="K1053" s="17"/>
      <x:c r="L1053" s="17"/>
      <x:c r="M1053" s="17"/>
      <x:c r="N1053" s="22"/>
      <x:c r="O1053" s="17"/>
    </x:row>
    <x:row r="1054">
      <x:c r="A1054" s="17"/>
      <x:c r="B1054" s="20"/>
      <x:c r="C1054" s="21"/>
      <x:c r="D1054" s="17"/>
      <x:c r="E1054" s="17"/>
      <x:c r="F1054" s="17"/>
      <x:c r="G1054" s="17"/>
      <x:c r="H1054" s="17"/>
      <x:c r="I1054" s="17"/>
      <x:c r="J1054" s="17"/>
      <x:c r="K1054" s="17"/>
      <x:c r="L1054" s="17"/>
      <x:c r="M1054" s="17"/>
      <x:c r="N1054" s="22"/>
      <x:c r="O1054" s="17"/>
    </x:row>
    <x:row r="1055">
      <x:c r="A1055" s="17"/>
      <x:c r="B1055" s="20"/>
      <x:c r="C1055" s="21"/>
      <x:c r="D1055" s="17"/>
      <x:c r="E1055" s="17"/>
      <x:c r="F1055" s="17"/>
      <x:c r="G1055" s="17"/>
      <x:c r="H1055" s="17"/>
      <x:c r="I1055" s="17"/>
      <x:c r="J1055" s="17"/>
      <x:c r="K1055" s="17"/>
      <x:c r="L1055" s="17"/>
      <x:c r="M1055" s="17"/>
      <x:c r="N1055" s="22"/>
      <x:c r="O1055" s="17"/>
    </x:row>
    <x:row r="1056">
      <x:c r="A1056" s="17"/>
      <x:c r="B1056" s="20"/>
      <x:c r="C1056" s="21"/>
      <x:c r="D1056" s="17"/>
      <x:c r="E1056" s="17"/>
      <x:c r="F1056" s="17"/>
      <x:c r="G1056" s="17"/>
      <x:c r="H1056" s="17"/>
      <x:c r="I1056" s="17"/>
      <x:c r="J1056" s="17"/>
      <x:c r="K1056" s="17"/>
      <x:c r="L1056" s="17"/>
      <x:c r="M1056" s="17"/>
      <x:c r="N1056" s="22"/>
      <x:c r="O1056" s="17"/>
    </x:row>
    <x:row r="1057">
      <x:c r="A1057" s="17"/>
      <x:c r="B1057" s="20"/>
      <x:c r="C1057" s="21"/>
      <x:c r="D1057" s="17"/>
      <x:c r="E1057" s="17"/>
      <x:c r="F1057" s="17"/>
      <x:c r="G1057" s="17"/>
      <x:c r="H1057" s="17"/>
      <x:c r="I1057" s="17"/>
      <x:c r="J1057" s="17"/>
      <x:c r="K1057" s="17"/>
      <x:c r="L1057" s="17"/>
      <x:c r="M1057" s="17"/>
      <x:c r="N1057" s="22"/>
      <x:c r="O1057" s="17"/>
    </x:row>
    <x:row r="1058">
      <x:c r="A1058" s="17"/>
      <x:c r="B1058" s="20"/>
      <x:c r="C1058" s="21"/>
      <x:c r="D1058" s="17"/>
      <x:c r="E1058" s="17"/>
      <x:c r="F1058" s="17"/>
      <x:c r="G1058" s="17"/>
      <x:c r="H1058" s="17"/>
      <x:c r="I1058" s="17"/>
      <x:c r="J1058" s="17"/>
      <x:c r="K1058" s="17"/>
      <x:c r="L1058" s="17"/>
      <x:c r="M1058" s="17"/>
      <x:c r="N1058" s="22"/>
      <x:c r="O1058" s="17"/>
    </x:row>
    <x:row r="1059">
      <x:c r="A1059" s="17"/>
      <x:c r="B1059" s="20"/>
      <x:c r="C1059" s="21"/>
      <x:c r="D1059" s="17"/>
      <x:c r="E1059" s="17"/>
      <x:c r="F1059" s="17"/>
      <x:c r="G1059" s="17"/>
      <x:c r="H1059" s="17"/>
      <x:c r="I1059" s="17"/>
      <x:c r="J1059" s="17"/>
      <x:c r="K1059" s="17"/>
      <x:c r="L1059" s="17"/>
      <x:c r="M1059" s="17"/>
      <x:c r="N1059" s="22"/>
      <x:c r="O1059" s="17"/>
    </x:row>
    <x:row r="1060">
      <x:c r="A1060" s="17"/>
      <x:c r="B1060" s="20"/>
      <x:c r="C1060" s="21"/>
      <x:c r="D1060" s="17"/>
      <x:c r="E1060" s="17"/>
      <x:c r="F1060" s="17"/>
      <x:c r="G1060" s="17"/>
      <x:c r="H1060" s="17"/>
      <x:c r="I1060" s="17"/>
      <x:c r="J1060" s="17"/>
      <x:c r="K1060" s="17"/>
      <x:c r="L1060" s="17"/>
      <x:c r="M1060" s="17"/>
      <x:c r="N1060" s="22"/>
      <x:c r="O1060" s="17"/>
    </x:row>
    <x:row r="1061">
      <x:c r="A1061" s="17"/>
      <x:c r="B1061" s="20"/>
      <x:c r="C1061" s="21"/>
      <x:c r="D1061" s="17"/>
      <x:c r="E1061" s="17"/>
      <x:c r="F1061" s="17"/>
      <x:c r="G1061" s="17"/>
      <x:c r="H1061" s="17"/>
      <x:c r="I1061" s="17"/>
      <x:c r="J1061" s="17"/>
      <x:c r="K1061" s="17"/>
      <x:c r="L1061" s="17"/>
      <x:c r="M1061" s="17"/>
      <x:c r="N1061" s="22"/>
      <x:c r="O1061" s="17"/>
    </x:row>
    <x:row r="1062">
      <x:c r="A1062" s="17"/>
      <x:c r="B1062" s="20"/>
      <x:c r="C1062" s="21"/>
      <x:c r="D1062" s="17"/>
      <x:c r="E1062" s="17"/>
      <x:c r="F1062" s="17"/>
      <x:c r="G1062" s="17"/>
      <x:c r="H1062" s="17"/>
      <x:c r="I1062" s="17"/>
      <x:c r="J1062" s="17"/>
      <x:c r="K1062" s="17"/>
      <x:c r="L1062" s="17"/>
      <x:c r="M1062" s="17"/>
      <x:c r="N1062" s="22"/>
      <x:c r="O1062" s="17"/>
    </x:row>
    <x:row r="1063">
      <x:c r="A1063" s="17"/>
      <x:c r="B1063" s="20"/>
      <x:c r="C1063" s="21"/>
      <x:c r="D1063" s="17"/>
      <x:c r="E1063" s="17"/>
      <x:c r="F1063" s="17"/>
      <x:c r="G1063" s="17"/>
      <x:c r="H1063" s="17"/>
      <x:c r="I1063" s="17"/>
      <x:c r="J1063" s="17"/>
      <x:c r="K1063" s="17"/>
      <x:c r="L1063" s="17"/>
      <x:c r="M1063" s="17"/>
      <x:c r="N1063" s="22"/>
      <x:c r="O1063" s="17"/>
    </x:row>
    <x:row r="1064">
      <x:c r="A1064" s="17"/>
      <x:c r="B1064" s="20"/>
      <x:c r="C1064" s="21"/>
      <x:c r="D1064" s="17"/>
      <x:c r="E1064" s="17"/>
      <x:c r="F1064" s="17"/>
      <x:c r="G1064" s="17"/>
      <x:c r="H1064" s="17"/>
      <x:c r="I1064" s="17"/>
      <x:c r="J1064" s="17"/>
      <x:c r="K1064" s="17"/>
      <x:c r="L1064" s="17"/>
      <x:c r="M1064" s="17"/>
      <x:c r="N1064" s="22"/>
      <x:c r="O1064" s="17"/>
    </x:row>
    <x:row r="1065">
      <x:c r="A1065" s="17"/>
      <x:c r="B1065" s="20"/>
      <x:c r="C1065" s="21"/>
      <x:c r="D1065" s="17"/>
      <x:c r="E1065" s="17"/>
      <x:c r="F1065" s="17"/>
      <x:c r="G1065" s="17"/>
      <x:c r="H1065" s="17"/>
      <x:c r="I1065" s="17"/>
      <x:c r="J1065" s="17"/>
      <x:c r="K1065" s="17"/>
      <x:c r="L1065" s="17"/>
      <x:c r="M1065" s="17"/>
      <x:c r="N1065" s="22"/>
      <x:c r="O1065" s="17"/>
    </x:row>
    <x:row r="1066">
      <x:c r="A1066" s="17"/>
      <x:c r="B1066" s="20"/>
      <x:c r="C1066" s="21"/>
      <x:c r="D1066" s="17"/>
      <x:c r="E1066" s="17"/>
      <x:c r="F1066" s="17"/>
      <x:c r="G1066" s="17"/>
      <x:c r="H1066" s="17"/>
      <x:c r="I1066" s="17"/>
      <x:c r="J1066" s="17"/>
      <x:c r="K1066" s="17"/>
      <x:c r="L1066" s="17"/>
      <x:c r="M1066" s="17"/>
      <x:c r="N1066" s="22"/>
      <x:c r="O1066" s="17"/>
    </x:row>
    <x:row r="1067">
      <x:c r="A1067" s="17"/>
      <x:c r="B1067" s="20"/>
      <x:c r="C1067" s="21"/>
      <x:c r="D1067" s="17"/>
      <x:c r="E1067" s="17"/>
      <x:c r="F1067" s="17"/>
      <x:c r="G1067" s="17"/>
      <x:c r="H1067" s="17"/>
      <x:c r="I1067" s="17"/>
      <x:c r="J1067" s="17"/>
      <x:c r="K1067" s="17"/>
      <x:c r="L1067" s="17"/>
      <x:c r="M1067" s="17"/>
      <x:c r="N1067" s="22"/>
      <x:c r="O1067" s="17"/>
    </x:row>
    <x:row r="1068">
      <x:c r="A1068" s="17"/>
      <x:c r="B1068" s="20"/>
      <x:c r="C1068" s="21"/>
      <x:c r="D1068" s="17"/>
      <x:c r="E1068" s="17"/>
      <x:c r="F1068" s="17"/>
      <x:c r="G1068" s="17"/>
      <x:c r="H1068" s="17"/>
      <x:c r="I1068" s="17"/>
      <x:c r="J1068" s="17"/>
      <x:c r="K1068" s="17"/>
      <x:c r="L1068" s="17"/>
      <x:c r="M1068" s="17"/>
      <x:c r="N1068" s="22"/>
      <x:c r="O1068" s="17"/>
    </x:row>
    <x:row r="1069">
      <x:c r="A1069" s="17"/>
      <x:c r="B1069" s="20"/>
      <x:c r="C1069" s="21"/>
      <x:c r="D1069" s="17"/>
      <x:c r="E1069" s="17"/>
      <x:c r="F1069" s="17"/>
      <x:c r="G1069" s="17"/>
      <x:c r="H1069" s="17"/>
      <x:c r="I1069" s="17"/>
      <x:c r="J1069" s="17"/>
      <x:c r="K1069" s="17"/>
      <x:c r="L1069" s="17"/>
      <x:c r="M1069" s="17"/>
      <x:c r="N1069" s="22"/>
      <x:c r="O1069" s="17"/>
    </x:row>
    <x:row r="1070">
      <x:c r="A1070" s="17"/>
      <x:c r="B1070" s="20"/>
      <x:c r="C1070" s="21"/>
      <x:c r="D1070" s="17"/>
      <x:c r="E1070" s="17"/>
      <x:c r="F1070" s="17"/>
      <x:c r="G1070" s="17"/>
      <x:c r="H1070" s="17"/>
      <x:c r="I1070" s="17"/>
      <x:c r="J1070" s="17"/>
      <x:c r="K1070" s="17"/>
      <x:c r="L1070" s="17"/>
      <x:c r="M1070" s="17"/>
      <x:c r="N1070" s="22"/>
      <x:c r="O1070" s="17"/>
    </x:row>
    <x:row r="1071">
      <x:c r="A1071" s="17"/>
      <x:c r="B1071" s="20"/>
      <x:c r="C1071" s="21"/>
      <x:c r="D1071" s="17"/>
      <x:c r="E1071" s="17"/>
      <x:c r="F1071" s="17"/>
      <x:c r="G1071" s="17"/>
      <x:c r="H1071" s="17"/>
      <x:c r="I1071" s="17"/>
      <x:c r="J1071" s="17"/>
      <x:c r="K1071" s="17"/>
      <x:c r="L1071" s="17"/>
      <x:c r="M1071" s="17"/>
      <x:c r="N1071" s="22"/>
      <x:c r="O1071" s="17"/>
    </x:row>
    <x:row r="1072">
      <x:c r="A1072" s="17"/>
      <x:c r="B1072" s="20"/>
      <x:c r="C1072" s="21"/>
      <x:c r="D1072" s="17"/>
      <x:c r="E1072" s="17"/>
      <x:c r="F1072" s="17"/>
      <x:c r="G1072" s="17"/>
      <x:c r="H1072" s="17"/>
      <x:c r="I1072" s="17"/>
      <x:c r="J1072" s="17"/>
      <x:c r="K1072" s="17"/>
      <x:c r="L1072" s="17"/>
      <x:c r="M1072" s="17"/>
      <x:c r="N1072" s="22"/>
      <x:c r="O1072" s="17"/>
    </x:row>
    <x:row r="1073">
      <x:c r="A1073" s="17"/>
      <x:c r="B1073" s="20"/>
      <x:c r="C1073" s="21"/>
      <x:c r="D1073" s="17"/>
      <x:c r="E1073" s="17"/>
      <x:c r="F1073" s="17"/>
      <x:c r="G1073" s="17"/>
      <x:c r="H1073" s="17"/>
      <x:c r="I1073" s="17"/>
      <x:c r="J1073" s="17"/>
      <x:c r="K1073" s="17"/>
      <x:c r="L1073" s="17"/>
      <x:c r="M1073" s="17"/>
      <x:c r="N1073" s="22"/>
      <x:c r="O1073" s="17"/>
    </x:row>
    <x:row r="1074">
      <x:c r="A1074" s="17"/>
      <x:c r="B1074" s="20"/>
      <x:c r="C1074" s="21"/>
      <x:c r="D1074" s="17"/>
      <x:c r="E1074" s="17"/>
      <x:c r="F1074" s="17"/>
      <x:c r="G1074" s="17"/>
      <x:c r="H1074" s="17"/>
      <x:c r="I1074" s="17"/>
      <x:c r="J1074" s="17"/>
      <x:c r="K1074" s="17"/>
      <x:c r="L1074" s="17"/>
      <x:c r="M1074" s="17"/>
      <x:c r="N1074" s="22"/>
      <x:c r="O1074" s="17"/>
    </x:row>
    <x:row r="1075">
      <x:c r="A1075" s="17"/>
      <x:c r="B1075" s="20"/>
      <x:c r="C1075" s="21"/>
      <x:c r="D1075" s="17"/>
      <x:c r="E1075" s="17"/>
      <x:c r="F1075" s="17"/>
      <x:c r="G1075" s="17"/>
      <x:c r="H1075" s="17"/>
      <x:c r="I1075" s="17"/>
      <x:c r="J1075" s="17"/>
      <x:c r="K1075" s="17"/>
      <x:c r="L1075" s="17"/>
      <x:c r="M1075" s="17"/>
      <x:c r="N1075" s="22"/>
      <x:c r="O1075" s="17"/>
    </x:row>
    <x:row r="1076">
      <x:c r="A1076" s="17"/>
      <x:c r="B1076" s="20"/>
      <x:c r="C1076" s="21"/>
      <x:c r="D1076" s="17"/>
      <x:c r="E1076" s="17"/>
      <x:c r="F1076" s="17"/>
      <x:c r="G1076" s="17"/>
      <x:c r="H1076" s="17"/>
      <x:c r="I1076" s="17"/>
      <x:c r="J1076" s="17"/>
      <x:c r="K1076" s="17"/>
      <x:c r="L1076" s="17"/>
      <x:c r="M1076" s="17"/>
      <x:c r="N1076" s="22"/>
      <x:c r="O1076" s="17"/>
    </x:row>
    <x:row r="1077">
      <x:c r="A1077" s="17"/>
      <x:c r="B1077" s="20"/>
      <x:c r="C1077" s="21"/>
      <x:c r="D1077" s="17"/>
      <x:c r="E1077" s="17"/>
      <x:c r="F1077" s="17"/>
      <x:c r="G1077" s="17"/>
      <x:c r="H1077" s="17"/>
      <x:c r="I1077" s="17"/>
      <x:c r="J1077" s="17"/>
      <x:c r="K1077" s="17"/>
      <x:c r="L1077" s="17"/>
      <x:c r="M1077" s="17"/>
      <x:c r="N1077" s="22"/>
      <x:c r="O1077" s="17"/>
    </x:row>
    <x:row r="1078">
      <x:c r="A1078" s="17"/>
      <x:c r="B1078" s="20"/>
      <x:c r="C1078" s="21"/>
      <x:c r="D1078" s="17"/>
      <x:c r="E1078" s="17"/>
      <x:c r="F1078" s="17"/>
      <x:c r="G1078" s="17"/>
      <x:c r="H1078" s="17"/>
      <x:c r="I1078" s="17"/>
      <x:c r="J1078" s="17"/>
      <x:c r="K1078" s="17"/>
      <x:c r="L1078" s="17"/>
      <x:c r="M1078" s="17"/>
      <x:c r="N1078" s="22"/>
      <x:c r="O1078" s="17"/>
    </x:row>
    <x:row r="1079">
      <x:c r="A1079" s="17"/>
      <x:c r="B1079" s="20"/>
      <x:c r="C1079" s="21"/>
      <x:c r="D1079" s="17"/>
      <x:c r="E1079" s="17"/>
      <x:c r="F1079" s="17"/>
      <x:c r="G1079" s="17"/>
      <x:c r="H1079" s="17"/>
      <x:c r="I1079" s="17"/>
      <x:c r="J1079" s="17"/>
      <x:c r="K1079" s="17"/>
      <x:c r="L1079" s="17"/>
      <x:c r="M1079" s="17"/>
      <x:c r="N1079" s="22"/>
      <x:c r="O1079" s="17"/>
    </x:row>
    <x:row r="1080">
      <x:c r="A1080" s="17"/>
      <x:c r="B1080" s="20"/>
      <x:c r="C1080" s="21"/>
      <x:c r="D1080" s="17"/>
      <x:c r="E1080" s="17"/>
      <x:c r="F1080" s="17"/>
      <x:c r="G1080" s="17"/>
      <x:c r="H1080" s="17"/>
      <x:c r="I1080" s="17"/>
      <x:c r="J1080" s="17"/>
      <x:c r="K1080" s="17"/>
      <x:c r="L1080" s="17"/>
      <x:c r="M1080" s="17"/>
      <x:c r="N1080" s="22"/>
      <x:c r="O1080" s="17"/>
    </x:row>
    <x:row r="1081">
      <x:c r="A1081" s="17"/>
      <x:c r="B1081" s="20"/>
      <x:c r="C1081" s="21"/>
      <x:c r="D1081" s="17"/>
      <x:c r="E1081" s="17"/>
      <x:c r="F1081" s="17"/>
      <x:c r="G1081" s="17"/>
      <x:c r="H1081" s="17"/>
      <x:c r="I1081" s="17"/>
      <x:c r="J1081" s="17"/>
      <x:c r="K1081" s="17"/>
      <x:c r="L1081" s="17"/>
      <x:c r="M1081" s="17"/>
      <x:c r="N1081" s="22"/>
      <x:c r="O1081" s="17"/>
    </x:row>
    <x:row r="1082">
      <x:c r="A1082" s="17"/>
      <x:c r="B1082" s="20"/>
      <x:c r="C1082" s="21"/>
      <x:c r="D1082" s="17"/>
      <x:c r="E1082" s="17"/>
      <x:c r="F1082" s="17"/>
      <x:c r="G1082" s="17"/>
      <x:c r="H1082" s="17"/>
      <x:c r="I1082" s="17"/>
      <x:c r="J1082" s="17"/>
      <x:c r="K1082" s="17"/>
      <x:c r="L1082" s="17"/>
      <x:c r="M1082" s="17"/>
      <x:c r="N1082" s="22"/>
      <x:c r="O1082" s="17"/>
    </x:row>
    <x:row r="1083">
      <x:c r="A1083" s="17"/>
      <x:c r="B1083" s="20"/>
      <x:c r="C1083" s="21"/>
      <x:c r="D1083" s="17"/>
      <x:c r="E1083" s="17"/>
      <x:c r="F1083" s="17"/>
      <x:c r="G1083" s="17"/>
      <x:c r="H1083" s="17"/>
      <x:c r="I1083" s="17"/>
      <x:c r="J1083" s="17"/>
      <x:c r="K1083" s="17"/>
      <x:c r="L1083" s="17"/>
      <x:c r="M1083" s="17"/>
      <x:c r="N1083" s="22"/>
      <x:c r="O1083" s="17"/>
    </x:row>
    <x:row r="1084">
      <x:c r="A1084" s="17"/>
      <x:c r="B1084" s="20"/>
      <x:c r="C1084" s="21"/>
      <x:c r="D1084" s="17"/>
      <x:c r="E1084" s="17"/>
      <x:c r="F1084" s="17"/>
      <x:c r="G1084" s="17"/>
      <x:c r="H1084" s="17"/>
      <x:c r="I1084" s="17"/>
      <x:c r="J1084" s="17"/>
      <x:c r="K1084" s="17"/>
      <x:c r="L1084" s="17"/>
      <x:c r="M1084" s="17"/>
      <x:c r="N1084" s="22"/>
      <x:c r="O1084" s="17"/>
    </x:row>
    <x:row r="1085">
      <x:c r="A1085" s="17"/>
      <x:c r="B1085" s="20"/>
      <x:c r="C1085" s="21"/>
      <x:c r="D1085" s="17"/>
      <x:c r="E1085" s="17"/>
      <x:c r="F1085" s="17"/>
      <x:c r="G1085" s="17"/>
      <x:c r="H1085" s="17"/>
      <x:c r="I1085" s="17"/>
      <x:c r="J1085" s="17"/>
      <x:c r="K1085" s="17"/>
      <x:c r="L1085" s="17"/>
      <x:c r="M1085" s="17"/>
      <x:c r="N1085" s="22"/>
      <x:c r="O1085" s="17"/>
    </x:row>
    <x:row r="1086">
      <x:c r="A1086" s="17"/>
      <x:c r="B1086" s="20"/>
      <x:c r="C1086" s="21"/>
      <x:c r="D1086" s="17"/>
      <x:c r="E1086" s="17"/>
      <x:c r="F1086" s="17"/>
      <x:c r="G1086" s="17"/>
      <x:c r="H1086" s="17"/>
      <x:c r="I1086" s="17"/>
      <x:c r="J1086" s="17"/>
      <x:c r="K1086" s="17"/>
      <x:c r="L1086" s="17"/>
      <x:c r="M1086" s="17"/>
      <x:c r="N1086" s="22"/>
      <x:c r="O1086" s="17"/>
    </x:row>
    <x:row r="1087">
      <x:c r="A1087" s="17"/>
      <x:c r="B1087" s="20"/>
      <x:c r="C1087" s="21"/>
      <x:c r="D1087" s="17"/>
      <x:c r="E1087" s="17"/>
      <x:c r="F1087" s="17"/>
      <x:c r="G1087" s="17"/>
      <x:c r="H1087" s="17"/>
      <x:c r="I1087" s="17"/>
      <x:c r="J1087" s="17"/>
      <x:c r="K1087" s="17"/>
      <x:c r="L1087" s="17"/>
      <x:c r="M1087" s="17"/>
      <x:c r="N1087" s="22"/>
      <x:c r="O1087" s="17"/>
    </x:row>
    <x:row r="1088">
      <x:c r="A1088" s="17"/>
      <x:c r="B1088" s="20"/>
      <x:c r="C1088" s="21"/>
      <x:c r="D1088" s="17"/>
      <x:c r="E1088" s="17"/>
      <x:c r="F1088" s="17"/>
      <x:c r="G1088" s="17"/>
      <x:c r="H1088" s="17"/>
      <x:c r="I1088" s="17"/>
      <x:c r="J1088" s="17"/>
      <x:c r="K1088" s="17"/>
      <x:c r="L1088" s="17"/>
      <x:c r="M1088" s="17"/>
      <x:c r="N1088" s="22"/>
      <x:c r="O1088" s="17"/>
    </x:row>
    <x:row r="1089">
      <x:c r="A1089" s="17"/>
      <x:c r="B1089" s="20"/>
      <x:c r="C1089" s="21"/>
      <x:c r="D1089" s="17"/>
      <x:c r="E1089" s="17"/>
      <x:c r="F1089" s="17"/>
      <x:c r="G1089" s="17"/>
      <x:c r="H1089" s="17"/>
      <x:c r="I1089" s="17"/>
      <x:c r="J1089" s="17"/>
      <x:c r="K1089" s="17"/>
      <x:c r="L1089" s="17"/>
      <x:c r="M1089" s="17"/>
      <x:c r="N1089" s="22"/>
      <x:c r="O1089" s="17"/>
    </x:row>
    <x:row r="1090">
      <x:c r="A1090" s="17"/>
      <x:c r="B1090" s="20"/>
      <x:c r="C1090" s="21"/>
      <x:c r="D1090" s="17"/>
      <x:c r="E1090" s="17"/>
      <x:c r="F1090" s="17"/>
      <x:c r="G1090" s="17"/>
      <x:c r="H1090" s="17"/>
      <x:c r="I1090" s="17"/>
      <x:c r="J1090" s="17"/>
      <x:c r="K1090" s="17"/>
      <x:c r="L1090" s="17"/>
      <x:c r="M1090" s="17"/>
      <x:c r="N1090" s="22"/>
      <x:c r="O1090" s="17"/>
    </x:row>
    <x:row r="1091">
      <x:c r="A1091" s="17"/>
      <x:c r="B1091" s="20"/>
      <x:c r="C1091" s="21"/>
      <x:c r="D1091" s="17"/>
      <x:c r="E1091" s="17"/>
      <x:c r="F1091" s="17"/>
      <x:c r="G1091" s="17"/>
      <x:c r="H1091" s="17"/>
      <x:c r="I1091" s="17"/>
      <x:c r="J1091" s="17"/>
      <x:c r="K1091" s="17"/>
      <x:c r="L1091" s="17"/>
      <x:c r="M1091" s="17"/>
      <x:c r="N1091" s="22"/>
      <x:c r="O1091" s="17"/>
    </x:row>
    <x:row r="1092">
      <x:c r="A1092" s="17"/>
      <x:c r="B1092" s="20"/>
      <x:c r="C1092" s="21"/>
      <x:c r="D1092" s="17"/>
      <x:c r="E1092" s="17"/>
      <x:c r="F1092" s="17"/>
      <x:c r="G1092" s="17"/>
      <x:c r="H1092" s="17"/>
      <x:c r="I1092" s="17"/>
      <x:c r="J1092" s="17"/>
      <x:c r="K1092" s="17"/>
      <x:c r="L1092" s="17"/>
      <x:c r="M1092" s="17"/>
      <x:c r="N1092" s="22"/>
      <x:c r="O1092" s="17"/>
    </x:row>
    <x:row r="1093">
      <x:c r="A1093" s="17"/>
      <x:c r="B1093" s="20"/>
      <x:c r="C1093" s="21"/>
      <x:c r="D1093" s="17"/>
      <x:c r="E1093" s="17"/>
      <x:c r="F1093" s="17"/>
      <x:c r="G1093" s="17"/>
      <x:c r="H1093" s="17"/>
      <x:c r="I1093" s="17"/>
      <x:c r="J1093" s="17"/>
      <x:c r="K1093" s="17"/>
      <x:c r="L1093" s="17"/>
      <x:c r="M1093" s="17"/>
      <x:c r="N1093" s="22"/>
      <x:c r="O1093" s="17"/>
    </x:row>
    <x:row r="1094">
      <x:c r="A1094" s="17"/>
      <x:c r="B1094" s="20"/>
      <x:c r="C1094" s="21"/>
      <x:c r="D1094" s="17"/>
      <x:c r="E1094" s="17"/>
      <x:c r="F1094" s="17"/>
      <x:c r="G1094" s="17"/>
      <x:c r="H1094" s="17"/>
      <x:c r="I1094" s="17"/>
      <x:c r="J1094" s="17"/>
      <x:c r="K1094" s="17"/>
      <x:c r="L1094" s="17"/>
      <x:c r="M1094" s="17"/>
      <x:c r="N1094" s="22"/>
      <x:c r="O1094" s="17"/>
    </x:row>
    <x:row r="1095">
      <x:c r="A1095" s="17"/>
      <x:c r="B1095" s="20"/>
      <x:c r="C1095" s="21"/>
      <x:c r="D1095" s="17"/>
      <x:c r="E1095" s="17"/>
      <x:c r="F1095" s="17"/>
      <x:c r="G1095" s="17"/>
      <x:c r="H1095" s="17"/>
      <x:c r="I1095" s="17"/>
      <x:c r="J1095" s="17"/>
      <x:c r="K1095" s="17"/>
      <x:c r="L1095" s="17"/>
      <x:c r="M1095" s="17"/>
      <x:c r="N1095" s="22"/>
      <x:c r="O1095" s="17"/>
    </x:row>
    <x:row r="1096">
      <x:c r="A1096" s="17"/>
      <x:c r="B1096" s="20"/>
      <x:c r="C1096" s="21"/>
      <x:c r="D1096" s="17"/>
      <x:c r="E1096" s="17"/>
      <x:c r="F1096" s="17"/>
      <x:c r="G1096" s="17"/>
      <x:c r="H1096" s="17"/>
      <x:c r="I1096" s="17"/>
      <x:c r="J1096" s="17"/>
      <x:c r="K1096" s="17"/>
      <x:c r="L1096" s="17"/>
      <x:c r="M1096" s="17"/>
      <x:c r="N1096" s="22"/>
      <x:c r="O1096" s="17"/>
    </x:row>
    <x:row r="1097">
      <x:c r="A1097" s="17"/>
      <x:c r="B1097" s="20"/>
      <x:c r="C1097" s="21"/>
      <x:c r="D1097" s="17"/>
      <x:c r="E1097" s="17"/>
      <x:c r="F1097" s="17"/>
      <x:c r="G1097" s="17"/>
      <x:c r="H1097" s="17"/>
      <x:c r="I1097" s="17"/>
      <x:c r="J1097" s="17"/>
      <x:c r="K1097" s="17"/>
      <x:c r="L1097" s="17"/>
      <x:c r="M1097" s="17"/>
      <x:c r="N1097" s="22"/>
      <x:c r="O1097" s="17"/>
    </x:row>
    <x:row r="1098">
      <x:c r="A1098" s="17"/>
      <x:c r="B1098" s="20"/>
      <x:c r="C1098" s="21"/>
      <x:c r="D1098" s="17"/>
      <x:c r="E1098" s="17"/>
      <x:c r="F1098" s="17"/>
      <x:c r="G1098" s="17"/>
      <x:c r="H1098" s="17"/>
      <x:c r="I1098" s="17"/>
      <x:c r="J1098" s="17"/>
      <x:c r="K1098" s="17"/>
      <x:c r="L1098" s="17"/>
      <x:c r="M1098" s="17"/>
      <x:c r="N1098" s="22"/>
      <x:c r="O1098" s="17"/>
    </x:row>
    <x:row r="1099">
      <x:c r="A1099" s="17"/>
      <x:c r="B1099" s="20"/>
      <x:c r="C1099" s="21"/>
      <x:c r="D1099" s="17"/>
      <x:c r="E1099" s="17"/>
      <x:c r="F1099" s="17"/>
      <x:c r="G1099" s="17"/>
      <x:c r="H1099" s="17"/>
      <x:c r="I1099" s="17"/>
      <x:c r="J1099" s="17"/>
      <x:c r="K1099" s="17"/>
      <x:c r="L1099" s="17"/>
      <x:c r="M1099" s="17"/>
      <x:c r="N1099" s="22"/>
      <x:c r="O1099" s="17"/>
    </x:row>
    <x:row r="1100">
      <x:c r="A1100" s="17"/>
      <x:c r="B1100" s="20"/>
      <x:c r="C1100" s="21"/>
      <x:c r="D1100" s="17"/>
      <x:c r="E1100" s="17"/>
      <x:c r="F1100" s="17"/>
      <x:c r="G1100" s="17"/>
      <x:c r="H1100" s="17"/>
      <x:c r="I1100" s="17"/>
      <x:c r="J1100" s="17"/>
      <x:c r="K1100" s="17"/>
      <x:c r="L1100" s="17"/>
      <x:c r="M1100" s="17"/>
      <x:c r="N1100" s="22"/>
      <x:c r="O1100" s="17"/>
    </x:row>
    <x:row r="1101">
      <x:c r="A1101" s="17"/>
      <x:c r="B1101" s="20"/>
      <x:c r="C1101" s="21"/>
      <x:c r="D1101" s="17"/>
      <x:c r="E1101" s="17"/>
      <x:c r="F1101" s="17"/>
      <x:c r="G1101" s="17"/>
      <x:c r="H1101" s="17"/>
      <x:c r="I1101" s="17"/>
      <x:c r="J1101" s="17"/>
      <x:c r="K1101" s="17"/>
      <x:c r="L1101" s="17"/>
      <x:c r="M1101" s="17"/>
      <x:c r="N1101" s="22"/>
      <x:c r="O1101" s="17"/>
    </x:row>
    <x:row r="1102">
      <x:c r="A1102" s="17"/>
      <x:c r="B1102" s="20"/>
      <x:c r="C1102" s="21"/>
      <x:c r="D1102" s="17"/>
      <x:c r="E1102" s="17"/>
      <x:c r="F1102" s="17"/>
      <x:c r="G1102" s="17"/>
      <x:c r="H1102" s="17"/>
      <x:c r="I1102" s="17"/>
      <x:c r="J1102" s="17"/>
      <x:c r="K1102" s="17"/>
      <x:c r="L1102" s="17"/>
      <x:c r="M1102" s="17"/>
      <x:c r="N1102" s="22"/>
      <x:c r="O1102" s="17"/>
    </x:row>
    <x:row r="1103">
      <x:c r="A1103" s="17"/>
      <x:c r="B1103" s="20"/>
      <x:c r="C1103" s="21"/>
      <x:c r="D1103" s="17"/>
      <x:c r="E1103" s="17"/>
      <x:c r="F1103" s="17"/>
      <x:c r="G1103" s="17"/>
      <x:c r="H1103" s="17"/>
      <x:c r="I1103" s="17"/>
      <x:c r="J1103" s="17"/>
      <x:c r="K1103" s="17"/>
      <x:c r="L1103" s="17"/>
      <x:c r="M1103" s="17"/>
      <x:c r="N1103" s="22"/>
      <x:c r="O1103" s="17"/>
    </x:row>
    <x:row r="1104">
      <x:c r="A1104" s="17"/>
      <x:c r="B1104" s="20"/>
      <x:c r="C1104" s="21"/>
      <x:c r="D1104" s="17"/>
      <x:c r="E1104" s="17"/>
      <x:c r="F1104" s="17"/>
      <x:c r="G1104" s="17"/>
      <x:c r="H1104" s="17"/>
      <x:c r="I1104" s="17"/>
      <x:c r="J1104" s="17"/>
      <x:c r="K1104" s="17"/>
      <x:c r="L1104" s="17"/>
      <x:c r="M1104" s="17"/>
      <x:c r="N1104" s="22"/>
      <x:c r="O1104" s="17"/>
    </x:row>
    <x:row r="1105">
      <x:c r="A1105" s="17"/>
      <x:c r="B1105" s="20"/>
      <x:c r="C1105" s="21"/>
      <x:c r="D1105" s="17"/>
      <x:c r="E1105" s="17"/>
      <x:c r="F1105" s="17"/>
      <x:c r="G1105" s="17"/>
      <x:c r="H1105" s="17"/>
      <x:c r="I1105" s="17"/>
      <x:c r="J1105" s="17"/>
      <x:c r="K1105" s="17"/>
      <x:c r="L1105" s="17"/>
      <x:c r="M1105" s="17"/>
      <x:c r="N1105" s="22"/>
      <x:c r="O1105" s="17"/>
    </x:row>
    <x:row r="1106">
      <x:c r="A1106" s="17"/>
      <x:c r="B1106" s="20"/>
      <x:c r="C1106" s="21"/>
      <x:c r="D1106" s="17"/>
      <x:c r="E1106" s="17"/>
      <x:c r="F1106" s="17"/>
      <x:c r="G1106" s="17"/>
      <x:c r="H1106" s="17"/>
      <x:c r="I1106" s="17"/>
      <x:c r="J1106" s="17"/>
      <x:c r="K1106" s="17"/>
      <x:c r="L1106" s="17"/>
      <x:c r="M1106" s="17"/>
      <x:c r="N1106" s="22"/>
      <x:c r="O1106" s="17"/>
    </x:row>
    <x:row r="1107">
      <x:c r="A1107" s="17"/>
      <x:c r="B1107" s="20"/>
      <x:c r="C1107" s="21"/>
      <x:c r="D1107" s="17"/>
      <x:c r="E1107" s="17"/>
      <x:c r="F1107" s="17"/>
      <x:c r="G1107" s="17"/>
      <x:c r="H1107" s="17"/>
      <x:c r="I1107" s="17"/>
      <x:c r="J1107" s="17"/>
      <x:c r="K1107" s="17"/>
      <x:c r="L1107" s="17"/>
      <x:c r="M1107" s="17"/>
      <x:c r="N1107" s="22"/>
      <x:c r="O1107" s="17"/>
    </x:row>
    <x:row r="1108">
      <x:c r="A1108" s="17"/>
      <x:c r="B1108" s="20"/>
      <x:c r="C1108" s="21"/>
      <x:c r="D1108" s="17"/>
      <x:c r="E1108" s="17"/>
      <x:c r="F1108" s="17"/>
      <x:c r="G1108" s="17"/>
      <x:c r="H1108" s="17"/>
      <x:c r="I1108" s="17"/>
      <x:c r="J1108" s="17"/>
      <x:c r="K1108" s="17"/>
      <x:c r="L1108" s="17"/>
      <x:c r="M1108" s="17"/>
      <x:c r="N1108" s="22"/>
      <x:c r="O1108" s="17"/>
    </x:row>
    <x:row r="1109">
      <x:c r="A1109" s="17"/>
      <x:c r="B1109" s="20"/>
      <x:c r="C1109" s="21"/>
      <x:c r="D1109" s="17"/>
      <x:c r="E1109" s="17"/>
      <x:c r="F1109" s="17"/>
      <x:c r="G1109" s="17"/>
      <x:c r="H1109" s="17"/>
      <x:c r="I1109" s="17"/>
      <x:c r="J1109" s="17"/>
      <x:c r="K1109" s="17"/>
      <x:c r="L1109" s="17"/>
      <x:c r="M1109" s="17"/>
      <x:c r="N1109" s="22"/>
      <x:c r="O1109" s="17"/>
    </x:row>
    <x:row r="1110">
      <x:c r="A1110" s="17"/>
      <x:c r="B1110" s="20"/>
      <x:c r="C1110" s="21"/>
      <x:c r="D1110" s="17"/>
      <x:c r="E1110" s="17"/>
      <x:c r="F1110" s="17"/>
      <x:c r="G1110" s="17"/>
      <x:c r="H1110" s="17"/>
      <x:c r="I1110" s="17"/>
      <x:c r="J1110" s="17"/>
      <x:c r="K1110" s="17"/>
      <x:c r="L1110" s="17"/>
      <x:c r="M1110" s="17"/>
      <x:c r="N1110" s="22"/>
      <x:c r="O1110" s="17"/>
    </x:row>
    <x:row r="1111">
      <x:c r="A1111" s="17"/>
      <x:c r="B1111" s="20"/>
      <x:c r="C1111" s="21"/>
      <x:c r="D1111" s="17"/>
      <x:c r="E1111" s="17"/>
      <x:c r="F1111" s="17"/>
      <x:c r="G1111" s="17"/>
      <x:c r="H1111" s="17"/>
      <x:c r="I1111" s="17"/>
      <x:c r="J1111" s="17"/>
      <x:c r="K1111" s="17"/>
      <x:c r="L1111" s="17"/>
      <x:c r="M1111" s="17"/>
      <x:c r="N1111" s="22"/>
      <x:c r="O1111" s="17"/>
    </x:row>
    <x:row r="1112">
      <x:c r="A1112" s="17"/>
      <x:c r="B1112" s="20"/>
      <x:c r="C1112" s="21"/>
      <x:c r="D1112" s="17"/>
      <x:c r="E1112" s="17"/>
      <x:c r="F1112" s="17"/>
      <x:c r="G1112" s="17"/>
      <x:c r="H1112" s="17"/>
      <x:c r="I1112" s="17"/>
      <x:c r="J1112" s="17"/>
      <x:c r="K1112" s="17"/>
      <x:c r="L1112" s="17"/>
      <x:c r="M1112" s="17"/>
      <x:c r="N1112" s="22"/>
      <x:c r="O1112" s="17"/>
    </x:row>
    <x:row r="1113">
      <x:c r="A1113" s="17"/>
      <x:c r="B1113" s="20"/>
      <x:c r="C1113" s="21"/>
      <x:c r="D1113" s="17"/>
      <x:c r="E1113" s="17"/>
      <x:c r="F1113" s="17"/>
      <x:c r="G1113" s="17"/>
      <x:c r="H1113" s="17"/>
      <x:c r="I1113" s="17"/>
      <x:c r="J1113" s="17"/>
      <x:c r="K1113" s="17"/>
      <x:c r="L1113" s="17"/>
      <x:c r="M1113" s="17"/>
      <x:c r="N1113" s="22"/>
      <x:c r="O1113" s="17"/>
    </x:row>
    <x:row r="1114">
      <x:c r="A1114" s="17"/>
      <x:c r="B1114" s="20"/>
      <x:c r="C1114" s="21"/>
      <x:c r="D1114" s="17"/>
      <x:c r="E1114" s="17"/>
      <x:c r="F1114" s="17"/>
      <x:c r="G1114" s="17"/>
      <x:c r="H1114" s="17"/>
      <x:c r="I1114" s="17"/>
      <x:c r="J1114" s="17"/>
      <x:c r="K1114" s="17"/>
      <x:c r="L1114" s="17"/>
      <x:c r="M1114" s="17"/>
      <x:c r="N1114" s="22"/>
      <x:c r="O1114" s="17"/>
    </x:row>
    <x:row r="1115">
      <x:c r="A1115" s="17"/>
      <x:c r="B1115" s="20"/>
      <x:c r="C1115" s="21"/>
      <x:c r="D1115" s="17"/>
      <x:c r="E1115" s="17"/>
      <x:c r="F1115" s="17"/>
      <x:c r="G1115" s="17"/>
      <x:c r="H1115" s="17"/>
      <x:c r="I1115" s="17"/>
      <x:c r="J1115" s="17"/>
      <x:c r="K1115" s="17"/>
      <x:c r="L1115" s="17"/>
      <x:c r="M1115" s="17"/>
      <x:c r="N1115" s="22"/>
      <x:c r="O1115" s="17"/>
    </x:row>
    <x:row r="1116">
      <x:c r="A1116" s="17"/>
      <x:c r="B1116" s="20"/>
      <x:c r="C1116" s="21"/>
      <x:c r="D1116" s="17"/>
      <x:c r="E1116" s="17"/>
      <x:c r="F1116" s="17"/>
      <x:c r="G1116" s="17"/>
      <x:c r="H1116" s="17"/>
      <x:c r="I1116" s="17"/>
      <x:c r="J1116" s="17"/>
      <x:c r="K1116" s="17"/>
      <x:c r="L1116" s="17"/>
      <x:c r="M1116" s="17"/>
      <x:c r="N1116" s="22"/>
      <x:c r="O1116" s="17"/>
    </x:row>
    <x:row r="1117">
      <x:c r="A1117" s="17"/>
      <x:c r="B1117" s="20"/>
      <x:c r="C1117" s="21"/>
      <x:c r="D1117" s="17"/>
      <x:c r="E1117" s="17"/>
      <x:c r="F1117" s="17"/>
      <x:c r="G1117" s="17"/>
      <x:c r="H1117" s="17"/>
      <x:c r="I1117" s="17"/>
      <x:c r="J1117" s="17"/>
      <x:c r="K1117" s="17"/>
      <x:c r="L1117" s="17"/>
      <x:c r="M1117" s="17"/>
      <x:c r="N1117" s="22"/>
      <x:c r="O1117" s="17"/>
    </x:row>
    <x:row r="1118">
      <x:c r="A1118" s="17"/>
      <x:c r="B1118" s="20"/>
      <x:c r="C1118" s="21"/>
      <x:c r="D1118" s="17"/>
      <x:c r="E1118" s="17"/>
      <x:c r="F1118" s="17"/>
      <x:c r="G1118" s="17"/>
      <x:c r="H1118" s="17"/>
      <x:c r="I1118" s="17"/>
      <x:c r="J1118" s="17"/>
      <x:c r="K1118" s="17"/>
      <x:c r="L1118" s="17"/>
      <x:c r="M1118" s="17"/>
      <x:c r="N1118" s="22"/>
      <x:c r="O1118" s="17"/>
    </x:row>
    <x:row r="1119">
      <x:c r="A1119" s="17"/>
      <x:c r="B1119" s="20"/>
      <x:c r="C1119" s="21"/>
      <x:c r="D1119" s="17"/>
      <x:c r="E1119" s="17"/>
      <x:c r="F1119" s="17"/>
      <x:c r="G1119" s="17"/>
      <x:c r="H1119" s="17"/>
      <x:c r="I1119" s="17"/>
      <x:c r="J1119" s="17"/>
      <x:c r="K1119" s="17"/>
      <x:c r="L1119" s="17"/>
      <x:c r="M1119" s="17"/>
      <x:c r="N1119" s="22"/>
      <x:c r="O1119" s="17"/>
    </x:row>
    <x:row r="1120">
      <x:c r="A1120" s="17"/>
      <x:c r="B1120" s="20"/>
      <x:c r="C1120" s="21"/>
      <x:c r="D1120" s="17"/>
      <x:c r="E1120" s="17"/>
      <x:c r="F1120" s="17"/>
      <x:c r="G1120" s="17"/>
      <x:c r="H1120" s="17"/>
      <x:c r="I1120" s="17"/>
      <x:c r="J1120" s="17"/>
      <x:c r="K1120" s="17"/>
      <x:c r="L1120" s="17"/>
      <x:c r="M1120" s="17"/>
      <x:c r="N1120" s="22"/>
      <x:c r="O1120" s="17"/>
    </x:row>
    <x:row r="1121">
      <x:c r="A1121" s="17"/>
      <x:c r="B1121" s="20"/>
      <x:c r="C1121" s="21"/>
      <x:c r="D1121" s="17"/>
      <x:c r="E1121" s="17"/>
      <x:c r="F1121" s="17"/>
      <x:c r="G1121" s="17"/>
      <x:c r="H1121" s="17"/>
      <x:c r="I1121" s="17"/>
      <x:c r="J1121" s="17"/>
      <x:c r="K1121" s="17"/>
      <x:c r="L1121" s="17"/>
      <x:c r="M1121" s="17"/>
      <x:c r="N1121" s="22"/>
      <x:c r="O1121" s="17"/>
    </x:row>
    <x:row r="1122">
      <x:c r="A1122" s="17"/>
      <x:c r="B1122" s="20"/>
      <x:c r="C1122" s="21"/>
      <x:c r="D1122" s="17"/>
      <x:c r="E1122" s="17"/>
      <x:c r="F1122" s="17"/>
      <x:c r="G1122" s="17"/>
      <x:c r="H1122" s="17"/>
      <x:c r="I1122" s="17"/>
      <x:c r="J1122" s="17"/>
      <x:c r="K1122" s="17"/>
      <x:c r="L1122" s="17"/>
      <x:c r="M1122" s="17"/>
      <x:c r="N1122" s="22"/>
      <x:c r="O1122" s="17"/>
    </x:row>
    <x:row r="1123">
      <x:c r="A1123" s="17"/>
      <x:c r="B1123" s="20"/>
      <x:c r="C1123" s="21"/>
      <x:c r="D1123" s="17"/>
      <x:c r="E1123" s="17"/>
      <x:c r="F1123" s="17"/>
      <x:c r="G1123" s="17"/>
      <x:c r="H1123" s="17"/>
      <x:c r="I1123" s="17"/>
      <x:c r="J1123" s="17"/>
      <x:c r="K1123" s="17"/>
      <x:c r="L1123" s="17"/>
      <x:c r="M1123" s="17"/>
      <x:c r="N1123" s="22"/>
      <x:c r="O1123" s="17"/>
    </x:row>
    <x:row r="1124">
      <x:c r="A1124" s="17"/>
      <x:c r="B1124" s="20"/>
      <x:c r="C1124" s="21"/>
      <x:c r="D1124" s="17"/>
      <x:c r="E1124" s="17"/>
      <x:c r="F1124" s="17"/>
      <x:c r="G1124" s="17"/>
      <x:c r="H1124" s="17"/>
      <x:c r="I1124" s="17"/>
      <x:c r="J1124" s="17"/>
      <x:c r="K1124" s="17"/>
      <x:c r="L1124" s="17"/>
      <x:c r="M1124" s="17"/>
      <x:c r="N1124" s="22"/>
      <x:c r="O1124" s="17"/>
    </x:row>
    <x:row r="1125">
      <x:c r="A1125" s="17"/>
      <x:c r="B1125" s="20"/>
      <x:c r="C1125" s="21"/>
      <x:c r="D1125" s="17"/>
      <x:c r="E1125" s="17"/>
      <x:c r="F1125" s="17"/>
      <x:c r="G1125" s="17"/>
      <x:c r="H1125" s="17"/>
      <x:c r="I1125" s="17"/>
      <x:c r="J1125" s="17"/>
      <x:c r="K1125" s="17"/>
      <x:c r="L1125" s="17"/>
      <x:c r="M1125" s="17"/>
      <x:c r="N1125" s="22"/>
      <x:c r="O1125" s="17"/>
    </x:row>
    <x:row r="1126">
      <x:c r="A1126" s="17"/>
      <x:c r="B1126" s="20"/>
      <x:c r="C1126" s="21"/>
      <x:c r="D1126" s="17"/>
      <x:c r="E1126" s="17"/>
      <x:c r="F1126" s="17"/>
      <x:c r="G1126" s="17"/>
      <x:c r="H1126" s="17"/>
      <x:c r="I1126" s="17"/>
      <x:c r="J1126" s="17"/>
      <x:c r="K1126" s="17"/>
      <x:c r="L1126" s="17"/>
      <x:c r="M1126" s="17"/>
      <x:c r="N1126" s="22"/>
      <x:c r="O1126" s="17"/>
    </x:row>
    <x:row r="1127">
      <x:c r="A1127" s="17"/>
      <x:c r="B1127" s="20"/>
      <x:c r="C1127" s="21"/>
      <x:c r="D1127" s="17"/>
      <x:c r="E1127" s="17"/>
      <x:c r="F1127" s="17"/>
      <x:c r="G1127" s="17"/>
      <x:c r="H1127" s="17"/>
      <x:c r="I1127" s="17"/>
      <x:c r="J1127" s="17"/>
      <x:c r="K1127" s="17"/>
      <x:c r="L1127" s="17"/>
      <x:c r="M1127" s="17"/>
      <x:c r="N1127" s="22"/>
      <x:c r="O1127" s="17"/>
    </x:row>
    <x:row r="1128">
      <x:c r="A1128" s="17"/>
      <x:c r="B1128" s="20"/>
      <x:c r="C1128" s="21"/>
      <x:c r="D1128" s="17"/>
      <x:c r="E1128" s="17"/>
      <x:c r="F1128" s="17"/>
      <x:c r="G1128" s="17"/>
      <x:c r="H1128" s="17"/>
      <x:c r="I1128" s="17"/>
      <x:c r="J1128" s="17"/>
      <x:c r="K1128" s="17"/>
      <x:c r="L1128" s="17"/>
      <x:c r="M1128" s="17"/>
      <x:c r="N1128" s="22"/>
      <x:c r="O1128" s="17"/>
    </x:row>
    <x:row r="1129">
      <x:c r="A1129" s="17"/>
      <x:c r="B1129" s="20"/>
      <x:c r="C1129" s="21"/>
      <x:c r="D1129" s="17"/>
      <x:c r="E1129" s="17"/>
      <x:c r="F1129" s="17"/>
      <x:c r="G1129" s="17"/>
      <x:c r="H1129" s="17"/>
      <x:c r="I1129" s="17"/>
      <x:c r="J1129" s="17"/>
      <x:c r="K1129" s="17"/>
      <x:c r="L1129" s="17"/>
      <x:c r="M1129" s="17"/>
      <x:c r="N1129" s="22"/>
      <x:c r="O1129" s="17"/>
    </x:row>
    <x:row r="1130">
      <x:c r="A1130" s="17"/>
      <x:c r="B1130" s="20"/>
      <x:c r="C1130" s="21"/>
      <x:c r="D1130" s="17"/>
      <x:c r="E1130" s="17"/>
      <x:c r="F1130" s="17"/>
      <x:c r="G1130" s="17"/>
      <x:c r="H1130" s="17"/>
      <x:c r="I1130" s="17"/>
      <x:c r="J1130" s="17"/>
      <x:c r="K1130" s="17"/>
      <x:c r="L1130" s="17"/>
      <x:c r="M1130" s="17"/>
      <x:c r="N1130" s="22"/>
      <x:c r="O1130" s="17"/>
    </x:row>
    <x:row r="1131">
      <x:c r="A1131" s="17"/>
      <x:c r="B1131" s="20"/>
      <x:c r="C1131" s="21"/>
      <x:c r="D1131" s="17"/>
      <x:c r="E1131" s="17"/>
      <x:c r="F1131" s="17"/>
      <x:c r="G1131" s="17"/>
      <x:c r="H1131" s="17"/>
      <x:c r="I1131" s="17"/>
      <x:c r="J1131" s="17"/>
      <x:c r="K1131" s="17"/>
      <x:c r="L1131" s="17"/>
      <x:c r="M1131" s="17"/>
      <x:c r="N1131" s="22"/>
      <x:c r="O1131" s="17"/>
    </x:row>
    <x:row r="1132">
      <x:c r="A1132" s="17"/>
      <x:c r="B1132" s="20"/>
      <x:c r="C1132" s="21"/>
      <x:c r="D1132" s="17"/>
      <x:c r="E1132" s="17"/>
      <x:c r="F1132" s="17"/>
      <x:c r="G1132" s="17"/>
      <x:c r="H1132" s="17"/>
      <x:c r="I1132" s="17"/>
      <x:c r="J1132" s="17"/>
      <x:c r="K1132" s="17"/>
      <x:c r="L1132" s="17"/>
      <x:c r="M1132" s="17"/>
      <x:c r="N1132" s="22"/>
      <x:c r="O1132" s="17"/>
    </x:row>
    <x:row r="1133">
      <x:c r="A1133" s="17"/>
      <x:c r="B1133" s="20"/>
      <x:c r="C1133" s="21"/>
      <x:c r="D1133" s="17"/>
      <x:c r="E1133" s="17"/>
      <x:c r="F1133" s="17"/>
      <x:c r="G1133" s="17"/>
      <x:c r="H1133" s="17"/>
      <x:c r="I1133" s="17"/>
      <x:c r="J1133" s="17"/>
      <x:c r="K1133" s="17"/>
      <x:c r="L1133" s="17"/>
      <x:c r="M1133" s="17"/>
      <x:c r="N1133" s="22"/>
      <x:c r="O1133" s="17"/>
    </x:row>
    <x:row r="1134">
      <x:c r="A1134" s="17"/>
      <x:c r="B1134" s="20"/>
      <x:c r="C1134" s="21"/>
      <x:c r="D1134" s="17"/>
      <x:c r="E1134" s="17"/>
      <x:c r="F1134" s="17"/>
      <x:c r="G1134" s="17"/>
      <x:c r="H1134" s="17"/>
      <x:c r="I1134" s="17"/>
      <x:c r="J1134" s="17"/>
      <x:c r="K1134" s="17"/>
      <x:c r="L1134" s="17"/>
      <x:c r="M1134" s="17"/>
      <x:c r="N1134" s="22"/>
      <x:c r="O1134" s="17"/>
    </x:row>
    <x:row r="1135">
      <x:c r="A1135" s="17"/>
      <x:c r="B1135" s="20"/>
      <x:c r="C1135" s="21"/>
      <x:c r="D1135" s="17"/>
      <x:c r="E1135" s="17"/>
      <x:c r="F1135" s="17"/>
      <x:c r="G1135" s="17"/>
      <x:c r="H1135" s="17"/>
      <x:c r="I1135" s="17"/>
      <x:c r="J1135" s="17"/>
      <x:c r="K1135" s="17"/>
      <x:c r="L1135" s="17"/>
      <x:c r="M1135" s="17"/>
      <x:c r="N1135" s="22"/>
      <x:c r="O1135" s="17"/>
    </x:row>
    <x:row r="1136">
      <x:c r="A1136" s="17"/>
      <x:c r="B1136" s="20"/>
      <x:c r="C1136" s="21"/>
      <x:c r="D1136" s="17"/>
      <x:c r="E1136" s="17"/>
      <x:c r="F1136" s="17"/>
      <x:c r="G1136" s="17"/>
      <x:c r="H1136" s="17"/>
      <x:c r="I1136" s="17"/>
      <x:c r="J1136" s="17"/>
      <x:c r="K1136" s="17"/>
      <x:c r="L1136" s="17"/>
      <x:c r="M1136" s="17"/>
      <x:c r="N1136" s="22"/>
      <x:c r="O1136" s="17"/>
    </x:row>
    <x:row r="1137">
      <x:c r="A1137" s="17"/>
      <x:c r="B1137" s="20"/>
      <x:c r="C1137" s="21"/>
      <x:c r="D1137" s="17"/>
      <x:c r="E1137" s="17"/>
      <x:c r="F1137" s="17"/>
      <x:c r="G1137" s="17"/>
      <x:c r="H1137" s="17"/>
      <x:c r="I1137" s="17"/>
      <x:c r="J1137" s="17"/>
      <x:c r="K1137" s="17"/>
      <x:c r="L1137" s="17"/>
      <x:c r="M1137" s="17"/>
      <x:c r="N1137" s="22"/>
      <x:c r="O1137" s="17"/>
    </x:row>
    <x:row r="1138">
      <x:c r="A1138" s="17"/>
      <x:c r="B1138" s="20"/>
      <x:c r="C1138" s="21"/>
      <x:c r="D1138" s="17"/>
      <x:c r="E1138" s="17"/>
      <x:c r="F1138" s="17"/>
      <x:c r="G1138" s="17"/>
      <x:c r="H1138" s="17"/>
      <x:c r="I1138" s="17"/>
      <x:c r="J1138" s="17"/>
      <x:c r="K1138" s="17"/>
      <x:c r="L1138" s="17"/>
      <x:c r="M1138" s="17"/>
      <x:c r="N1138" s="22"/>
      <x:c r="O1138" s="17"/>
    </x:row>
    <x:row r="1139">
      <x:c r="A1139" s="17"/>
      <x:c r="B1139" s="20"/>
      <x:c r="C1139" s="21"/>
      <x:c r="D1139" s="17"/>
      <x:c r="E1139" s="17"/>
      <x:c r="F1139" s="17"/>
      <x:c r="G1139" s="17"/>
      <x:c r="H1139" s="17"/>
      <x:c r="I1139" s="17"/>
      <x:c r="J1139" s="17"/>
      <x:c r="K1139" s="17"/>
      <x:c r="L1139" s="17"/>
      <x:c r="M1139" s="17"/>
      <x:c r="N1139" s="22"/>
      <x:c r="O1139" s="17"/>
    </x:row>
    <x:row r="1140">
      <x:c r="A1140" s="17"/>
      <x:c r="B1140" s="20"/>
      <x:c r="C1140" s="21"/>
      <x:c r="D1140" s="17"/>
      <x:c r="E1140" s="17"/>
      <x:c r="F1140" s="17"/>
      <x:c r="G1140" s="17"/>
      <x:c r="H1140" s="17"/>
      <x:c r="I1140" s="17"/>
      <x:c r="J1140" s="17"/>
      <x:c r="K1140" s="17"/>
      <x:c r="L1140" s="17"/>
      <x:c r="M1140" s="17"/>
      <x:c r="N1140" s="22"/>
      <x:c r="O1140" s="17"/>
    </x:row>
    <x:row r="1141">
      <x:c r="A1141" s="17"/>
      <x:c r="B1141" s="20"/>
      <x:c r="C1141" s="21"/>
      <x:c r="D1141" s="17"/>
      <x:c r="E1141" s="17"/>
      <x:c r="F1141" s="17"/>
      <x:c r="G1141" s="17"/>
      <x:c r="H1141" s="17"/>
      <x:c r="I1141" s="17"/>
      <x:c r="J1141" s="17"/>
      <x:c r="K1141" s="17"/>
      <x:c r="L1141" s="17"/>
      <x:c r="M1141" s="17"/>
      <x:c r="N1141" s="22"/>
      <x:c r="O1141" s="17"/>
    </x:row>
    <x:row r="1142">
      <x:c r="A1142" s="17"/>
      <x:c r="B1142" s="20"/>
      <x:c r="C1142" s="21"/>
      <x:c r="D1142" s="17"/>
      <x:c r="E1142" s="17"/>
      <x:c r="F1142" s="17"/>
      <x:c r="G1142" s="17"/>
      <x:c r="H1142" s="17"/>
      <x:c r="I1142" s="17"/>
      <x:c r="J1142" s="17"/>
      <x:c r="K1142" s="17"/>
      <x:c r="L1142" s="17"/>
      <x:c r="M1142" s="17"/>
      <x:c r="N1142" s="22"/>
      <x:c r="O1142" s="17"/>
    </x:row>
    <x:row r="1143">
      <x:c r="A1143" s="17"/>
      <x:c r="B1143" s="20"/>
      <x:c r="C1143" s="21"/>
      <x:c r="D1143" s="17"/>
      <x:c r="E1143" s="17"/>
      <x:c r="F1143" s="17"/>
      <x:c r="G1143" s="17"/>
      <x:c r="H1143" s="17"/>
      <x:c r="I1143" s="17"/>
      <x:c r="J1143" s="17"/>
      <x:c r="K1143" s="17"/>
      <x:c r="L1143" s="17"/>
      <x:c r="M1143" s="17"/>
      <x:c r="N1143" s="22"/>
      <x:c r="O1143" s="17"/>
    </x:row>
    <x:row r="1144">
      <x:c r="A1144" s="17"/>
      <x:c r="B1144" s="20"/>
      <x:c r="C1144" s="21"/>
      <x:c r="D1144" s="17"/>
      <x:c r="E1144" s="17"/>
      <x:c r="F1144" s="17"/>
      <x:c r="G1144" s="17"/>
      <x:c r="H1144" s="17"/>
      <x:c r="I1144" s="17"/>
      <x:c r="J1144" s="17"/>
      <x:c r="K1144" s="17"/>
      <x:c r="L1144" s="17"/>
      <x:c r="M1144" s="17"/>
      <x:c r="N1144" s="22"/>
      <x:c r="O1144" s="17"/>
    </x:row>
    <x:row r="1145">
      <x:c r="A1145" s="17"/>
      <x:c r="B1145" s="20"/>
      <x:c r="C1145" s="21"/>
      <x:c r="D1145" s="17"/>
      <x:c r="E1145" s="17"/>
      <x:c r="F1145" s="17"/>
      <x:c r="G1145" s="17"/>
      <x:c r="H1145" s="17"/>
      <x:c r="I1145" s="17"/>
      <x:c r="J1145" s="17"/>
      <x:c r="K1145" s="17"/>
      <x:c r="L1145" s="17"/>
      <x:c r="M1145" s="17"/>
      <x:c r="N1145" s="22"/>
      <x:c r="O1145" s="17"/>
    </x:row>
    <x:row r="1146">
      <x:c r="A1146" s="17"/>
      <x:c r="B1146" s="20"/>
      <x:c r="C1146" s="21"/>
      <x:c r="D1146" s="17"/>
      <x:c r="E1146" s="17"/>
      <x:c r="F1146" s="17"/>
      <x:c r="G1146" s="17"/>
      <x:c r="H1146" s="17"/>
      <x:c r="I1146" s="17"/>
      <x:c r="J1146" s="17"/>
      <x:c r="K1146" s="17"/>
      <x:c r="L1146" s="17"/>
      <x:c r="M1146" s="17"/>
      <x:c r="N1146" s="22"/>
      <x:c r="O1146" s="17"/>
    </x:row>
    <x:row r="1147">
      <x:c r="A1147" s="17"/>
      <x:c r="B1147" s="20"/>
      <x:c r="C1147" s="21"/>
      <x:c r="D1147" s="17"/>
      <x:c r="E1147" s="17"/>
      <x:c r="F1147" s="17"/>
      <x:c r="G1147" s="17"/>
      <x:c r="H1147" s="17"/>
      <x:c r="I1147" s="17"/>
      <x:c r="J1147" s="17"/>
      <x:c r="K1147" s="17"/>
      <x:c r="L1147" s="17"/>
      <x:c r="M1147" s="17"/>
      <x:c r="N1147" s="22"/>
      <x:c r="O1147" s="17"/>
    </x:row>
    <x:row r="1148">
      <x:c r="A1148" s="17"/>
      <x:c r="B1148" s="20"/>
      <x:c r="C1148" s="21"/>
      <x:c r="D1148" s="17"/>
      <x:c r="E1148" s="17"/>
      <x:c r="F1148" s="17"/>
      <x:c r="G1148" s="17"/>
      <x:c r="H1148" s="17"/>
      <x:c r="I1148" s="17"/>
      <x:c r="J1148" s="17"/>
      <x:c r="K1148" s="17"/>
      <x:c r="L1148" s="17"/>
      <x:c r="M1148" s="17"/>
      <x:c r="N1148" s="22"/>
      <x:c r="O1148" s="17"/>
    </x:row>
    <x:row r="1149">
      <x:c r="A1149" s="17"/>
      <x:c r="B1149" s="20"/>
      <x:c r="C1149" s="21"/>
      <x:c r="D1149" s="17"/>
      <x:c r="E1149" s="17"/>
      <x:c r="F1149" s="17"/>
      <x:c r="G1149" s="17"/>
      <x:c r="H1149" s="17"/>
      <x:c r="I1149" s="17"/>
      <x:c r="J1149" s="17"/>
      <x:c r="K1149" s="17"/>
      <x:c r="L1149" s="17"/>
      <x:c r="M1149" s="17"/>
      <x:c r="N1149" s="22"/>
      <x:c r="O1149" s="17"/>
    </x:row>
    <x:row r="1150">
      <x:c r="A1150" s="17"/>
      <x:c r="B1150" s="20"/>
      <x:c r="C1150" s="21"/>
      <x:c r="D1150" s="17"/>
      <x:c r="E1150" s="17"/>
      <x:c r="F1150" s="17"/>
      <x:c r="G1150" s="17"/>
      <x:c r="H1150" s="17"/>
      <x:c r="I1150" s="17"/>
      <x:c r="J1150" s="17"/>
      <x:c r="K1150" s="17"/>
      <x:c r="L1150" s="17"/>
      <x:c r="M1150" s="17"/>
      <x:c r="N1150" s="22"/>
      <x:c r="O1150" s="17"/>
    </x:row>
    <x:row r="1151">
      <x:c r="A1151" s="17"/>
      <x:c r="B1151" s="20"/>
      <x:c r="C1151" s="21"/>
      <x:c r="D1151" s="17"/>
      <x:c r="E1151" s="17"/>
      <x:c r="F1151" s="17"/>
      <x:c r="G1151" s="17"/>
      <x:c r="H1151" s="17"/>
      <x:c r="I1151" s="17"/>
      <x:c r="J1151" s="17"/>
      <x:c r="K1151" s="17"/>
      <x:c r="L1151" s="17"/>
      <x:c r="M1151" s="17"/>
      <x:c r="N1151" s="22"/>
      <x:c r="O1151" s="17"/>
    </x:row>
    <x:row r="1152">
      <x:c r="A1152" s="17"/>
      <x:c r="B1152" s="20"/>
      <x:c r="C1152" s="21"/>
      <x:c r="D1152" s="17"/>
      <x:c r="E1152" s="17"/>
      <x:c r="F1152" s="17"/>
      <x:c r="G1152" s="17"/>
      <x:c r="H1152" s="17"/>
      <x:c r="I1152" s="17"/>
      <x:c r="J1152" s="17"/>
      <x:c r="K1152" s="17"/>
      <x:c r="L1152" s="17"/>
      <x:c r="M1152" s="17"/>
      <x:c r="N1152" s="22"/>
      <x:c r="O1152" s="17"/>
    </x:row>
    <x:row r="1153">
      <x:c r="A1153" s="17"/>
      <x:c r="B1153" s="20"/>
      <x:c r="C1153" s="21"/>
      <x:c r="D1153" s="17"/>
      <x:c r="E1153" s="17"/>
      <x:c r="F1153" s="17"/>
      <x:c r="G1153" s="17"/>
      <x:c r="H1153" s="17"/>
      <x:c r="I1153" s="17"/>
      <x:c r="J1153" s="17"/>
      <x:c r="K1153" s="17"/>
      <x:c r="L1153" s="17"/>
      <x:c r="M1153" s="17"/>
      <x:c r="N1153" s="22"/>
      <x:c r="O1153" s="17"/>
    </x:row>
    <x:row r="1154">
      <x:c r="A1154" s="17"/>
      <x:c r="B1154" s="20"/>
      <x:c r="C1154" s="21"/>
      <x:c r="D1154" s="17"/>
      <x:c r="E1154" s="17"/>
      <x:c r="F1154" s="17"/>
      <x:c r="G1154" s="17"/>
      <x:c r="H1154" s="17"/>
      <x:c r="I1154" s="17"/>
      <x:c r="J1154" s="17"/>
      <x:c r="K1154" s="17"/>
      <x:c r="L1154" s="17"/>
      <x:c r="M1154" s="17"/>
      <x:c r="N1154" s="22"/>
      <x:c r="O1154" s="17"/>
    </x:row>
    <x:row r="1155">
      <x:c r="A1155" s="17"/>
      <x:c r="B1155" s="20"/>
      <x:c r="C1155" s="21"/>
      <x:c r="D1155" s="17"/>
      <x:c r="E1155" s="17"/>
      <x:c r="F1155" s="17"/>
      <x:c r="G1155" s="17"/>
      <x:c r="H1155" s="17"/>
      <x:c r="I1155" s="17"/>
      <x:c r="J1155" s="17"/>
      <x:c r="K1155" s="17"/>
      <x:c r="L1155" s="17"/>
      <x:c r="M1155" s="17"/>
      <x:c r="N1155" s="22"/>
      <x:c r="O1155" s="17"/>
    </x:row>
    <x:row r="1156">
      <x:c r="A1156" s="17"/>
      <x:c r="B1156" s="20"/>
      <x:c r="C1156" s="21"/>
      <x:c r="D1156" s="17"/>
      <x:c r="E1156" s="17"/>
      <x:c r="F1156" s="17"/>
      <x:c r="G1156" s="17"/>
      <x:c r="H1156" s="17"/>
      <x:c r="I1156" s="17"/>
      <x:c r="J1156" s="17"/>
      <x:c r="K1156" s="17"/>
      <x:c r="L1156" s="17"/>
      <x:c r="M1156" s="17"/>
      <x:c r="N1156" s="22"/>
      <x:c r="O1156" s="17"/>
    </x:row>
    <x:row r="1157">
      <x:c r="A1157" s="17"/>
      <x:c r="B1157" s="20"/>
      <x:c r="C1157" s="21"/>
      <x:c r="D1157" s="17"/>
      <x:c r="E1157" s="17"/>
      <x:c r="F1157" s="17"/>
      <x:c r="G1157" s="17"/>
      <x:c r="H1157" s="17"/>
      <x:c r="I1157" s="17"/>
      <x:c r="J1157" s="17"/>
      <x:c r="K1157" s="17"/>
      <x:c r="L1157" s="17"/>
      <x:c r="M1157" s="17"/>
      <x:c r="N1157" s="22"/>
      <x:c r="O1157" s="17"/>
    </x:row>
    <x:row r="1158">
      <x:c r="A1158" s="17"/>
      <x:c r="B1158" s="20"/>
      <x:c r="C1158" s="21"/>
      <x:c r="D1158" s="17"/>
      <x:c r="E1158" s="17"/>
      <x:c r="F1158" s="17"/>
      <x:c r="G1158" s="17"/>
      <x:c r="H1158" s="17"/>
      <x:c r="I1158" s="17"/>
      <x:c r="J1158" s="17"/>
      <x:c r="K1158" s="17"/>
      <x:c r="L1158" s="17"/>
      <x:c r="M1158" s="17"/>
      <x:c r="N1158" s="22"/>
      <x:c r="O1158" s="17"/>
    </x:row>
    <x:row r="1159">
      <x:c r="A1159" s="17"/>
      <x:c r="B1159" s="20"/>
      <x:c r="C1159" s="21"/>
      <x:c r="D1159" s="17"/>
      <x:c r="E1159" s="17"/>
      <x:c r="F1159" s="17"/>
      <x:c r="G1159" s="17"/>
      <x:c r="H1159" s="17"/>
      <x:c r="I1159" s="17"/>
      <x:c r="J1159" s="17"/>
      <x:c r="K1159" s="17"/>
      <x:c r="L1159" s="17"/>
      <x:c r="M1159" s="17"/>
      <x:c r="N1159" s="22"/>
      <x:c r="O1159" s="17"/>
    </x:row>
    <x:row r="1160">
      <x:c r="A1160" s="17"/>
      <x:c r="B1160" s="20"/>
      <x:c r="C1160" s="21"/>
      <x:c r="D1160" s="17"/>
      <x:c r="E1160" s="17"/>
      <x:c r="F1160" s="17"/>
      <x:c r="G1160" s="17"/>
      <x:c r="H1160" s="17"/>
      <x:c r="I1160" s="17"/>
      <x:c r="J1160" s="17"/>
      <x:c r="K1160" s="17"/>
      <x:c r="L1160" s="17"/>
      <x:c r="M1160" s="17"/>
      <x:c r="N1160" s="22"/>
      <x:c r="O1160" s="17"/>
    </x:row>
    <x:row r="1161">
      <x:c r="A1161" s="17"/>
      <x:c r="B1161" s="20"/>
      <x:c r="C1161" s="21"/>
      <x:c r="D1161" s="17"/>
      <x:c r="E1161" s="17"/>
      <x:c r="F1161" s="17"/>
      <x:c r="G1161" s="17"/>
      <x:c r="H1161" s="17"/>
      <x:c r="I1161" s="17"/>
      <x:c r="J1161" s="17"/>
      <x:c r="K1161" s="17"/>
      <x:c r="L1161" s="17"/>
      <x:c r="M1161" s="17"/>
      <x:c r="N1161" s="22"/>
      <x:c r="O1161" s="17"/>
    </x:row>
    <x:row r="1162">
      <x:c r="A1162" s="17"/>
      <x:c r="B1162" s="20"/>
      <x:c r="C1162" s="21"/>
      <x:c r="D1162" s="17"/>
      <x:c r="E1162" s="17"/>
      <x:c r="F1162" s="17"/>
      <x:c r="G1162" s="17"/>
      <x:c r="H1162" s="17"/>
      <x:c r="I1162" s="17"/>
      <x:c r="J1162" s="17"/>
      <x:c r="K1162" s="17"/>
      <x:c r="L1162" s="17"/>
      <x:c r="M1162" s="17"/>
      <x:c r="N1162" s="22"/>
      <x:c r="O1162" s="17"/>
    </x:row>
    <x:row r="1163">
      <x:c r="A1163" s="17"/>
      <x:c r="B1163" s="20"/>
      <x:c r="C1163" s="21"/>
      <x:c r="D1163" s="17"/>
      <x:c r="E1163" s="17"/>
      <x:c r="F1163" s="17"/>
      <x:c r="G1163" s="17"/>
      <x:c r="H1163" s="17"/>
      <x:c r="I1163" s="17"/>
      <x:c r="J1163" s="17"/>
      <x:c r="K1163" s="17"/>
      <x:c r="L1163" s="17"/>
      <x:c r="M1163" s="17"/>
      <x:c r="N1163" s="22"/>
      <x:c r="O1163" s="17"/>
    </x:row>
    <x:row r="1164">
      <x:c r="A1164" s="17"/>
      <x:c r="B1164" s="20"/>
      <x:c r="C1164" s="21"/>
      <x:c r="D1164" s="17"/>
      <x:c r="E1164" s="17"/>
      <x:c r="F1164" s="17"/>
      <x:c r="G1164" s="17"/>
      <x:c r="H1164" s="17"/>
      <x:c r="I1164" s="17"/>
      <x:c r="J1164" s="17"/>
      <x:c r="K1164" s="17"/>
      <x:c r="L1164" s="17"/>
      <x:c r="M1164" s="17"/>
      <x:c r="N1164" s="22"/>
      <x:c r="O1164" s="17"/>
    </x:row>
    <x:row r="1165">
      <x:c r="A1165" s="17"/>
      <x:c r="B1165" s="20"/>
      <x:c r="C1165" s="21"/>
      <x:c r="D1165" s="17"/>
      <x:c r="E1165" s="17"/>
      <x:c r="F1165" s="17"/>
      <x:c r="G1165" s="17"/>
      <x:c r="H1165" s="17"/>
      <x:c r="I1165" s="17"/>
      <x:c r="J1165" s="17"/>
      <x:c r="K1165" s="17"/>
      <x:c r="L1165" s="17"/>
      <x:c r="M1165" s="17"/>
      <x:c r="N1165" s="22"/>
      <x:c r="O1165" s="17"/>
    </x:row>
    <x:row r="1166">
      <x:c r="A1166" s="17"/>
      <x:c r="B1166" s="20"/>
      <x:c r="C1166" s="21"/>
      <x:c r="D1166" s="17"/>
      <x:c r="E1166" s="17"/>
      <x:c r="F1166" s="17"/>
      <x:c r="G1166" s="17"/>
      <x:c r="H1166" s="17"/>
      <x:c r="I1166" s="17"/>
      <x:c r="J1166" s="17"/>
      <x:c r="K1166" s="17"/>
      <x:c r="L1166" s="17"/>
      <x:c r="M1166" s="17"/>
      <x:c r="N1166" s="22"/>
      <x:c r="O1166" s="17"/>
    </x:row>
    <x:row r="1167">
      <x:c r="A1167" s="17"/>
      <x:c r="B1167" s="20"/>
      <x:c r="C1167" s="21"/>
      <x:c r="D1167" s="17"/>
      <x:c r="E1167" s="17"/>
      <x:c r="F1167" s="17"/>
      <x:c r="G1167" s="17"/>
      <x:c r="H1167" s="17"/>
      <x:c r="I1167" s="17"/>
      <x:c r="J1167" s="17"/>
      <x:c r="K1167" s="17"/>
      <x:c r="L1167" s="17"/>
      <x:c r="M1167" s="17"/>
      <x:c r="N1167" s="22"/>
      <x:c r="O1167" s="17"/>
    </x:row>
    <x:row r="1168">
      <x:c r="A1168" s="17"/>
      <x:c r="B1168" s="20"/>
      <x:c r="C1168" s="21"/>
      <x:c r="D1168" s="17"/>
      <x:c r="E1168" s="17"/>
      <x:c r="F1168" s="17"/>
      <x:c r="G1168" s="17"/>
      <x:c r="H1168" s="17"/>
      <x:c r="I1168" s="17"/>
      <x:c r="J1168" s="17"/>
      <x:c r="K1168" s="17"/>
      <x:c r="L1168" s="17"/>
      <x:c r="M1168" s="17"/>
      <x:c r="N1168" s="22"/>
      <x:c r="O1168" s="17"/>
    </x:row>
    <x:row r="1169">
      <x:c r="A1169" s="17"/>
      <x:c r="B1169" s="20"/>
      <x:c r="C1169" s="21"/>
      <x:c r="D1169" s="17"/>
      <x:c r="E1169" s="17"/>
      <x:c r="F1169" s="17"/>
      <x:c r="G1169" s="17"/>
      <x:c r="H1169" s="17"/>
      <x:c r="I1169" s="17"/>
      <x:c r="J1169" s="17"/>
      <x:c r="K1169" s="17"/>
      <x:c r="L1169" s="17"/>
      <x:c r="M1169" s="17"/>
      <x:c r="N1169" s="22"/>
      <x:c r="O1169" s="17"/>
    </x:row>
    <x:row r="1170">
      <x:c r="A1170" s="17"/>
      <x:c r="B1170" s="20"/>
      <x:c r="C1170" s="21"/>
      <x:c r="D1170" s="17"/>
      <x:c r="E1170" s="17"/>
      <x:c r="F1170" s="17"/>
      <x:c r="G1170" s="17"/>
      <x:c r="H1170" s="17"/>
      <x:c r="I1170" s="17"/>
      <x:c r="J1170" s="17"/>
      <x:c r="K1170" s="17"/>
      <x:c r="L1170" s="17"/>
      <x:c r="M1170" s="17"/>
      <x:c r="N1170" s="22"/>
      <x:c r="O1170" s="17"/>
    </x:row>
    <x:row r="1171">
      <x:c r="A1171" s="17"/>
      <x:c r="B1171" s="20"/>
      <x:c r="C1171" s="21"/>
      <x:c r="D1171" s="17"/>
      <x:c r="E1171" s="17"/>
      <x:c r="F1171" s="17"/>
      <x:c r="G1171" s="17"/>
      <x:c r="H1171" s="17"/>
      <x:c r="I1171" s="17"/>
      <x:c r="J1171" s="17"/>
      <x:c r="K1171" s="17"/>
      <x:c r="L1171" s="17"/>
      <x:c r="M1171" s="17"/>
      <x:c r="N1171" s="22"/>
      <x:c r="O1171" s="17"/>
    </x:row>
    <x:row r="1172">
      <x:c r="A1172" s="17"/>
      <x:c r="B1172" s="20"/>
      <x:c r="C1172" s="21"/>
      <x:c r="D1172" s="17"/>
      <x:c r="E1172" s="17"/>
      <x:c r="F1172" s="17"/>
      <x:c r="G1172" s="17"/>
      <x:c r="H1172" s="17"/>
      <x:c r="I1172" s="17"/>
      <x:c r="J1172" s="17"/>
      <x:c r="K1172" s="17"/>
      <x:c r="L1172" s="17"/>
      <x:c r="M1172" s="17"/>
      <x:c r="N1172" s="22"/>
      <x:c r="O1172" s="17"/>
    </x:row>
    <x:row r="1173">
      <x:c r="A1173" s="17"/>
      <x:c r="B1173" s="20"/>
      <x:c r="C1173" s="21"/>
      <x:c r="D1173" s="17"/>
      <x:c r="E1173" s="17"/>
      <x:c r="F1173" s="17"/>
      <x:c r="G1173" s="17"/>
      <x:c r="H1173" s="17"/>
      <x:c r="I1173" s="17"/>
      <x:c r="J1173" s="17"/>
      <x:c r="K1173" s="17"/>
      <x:c r="L1173" s="17"/>
      <x:c r="M1173" s="17"/>
      <x:c r="N1173" s="22"/>
      <x:c r="O1173" s="17"/>
    </x:row>
    <x:row r="1174">
      <x:c r="A1174" s="17"/>
      <x:c r="B1174" s="20"/>
      <x:c r="C1174" s="21"/>
      <x:c r="D1174" s="17"/>
      <x:c r="E1174" s="17"/>
      <x:c r="F1174" s="17"/>
      <x:c r="G1174" s="17"/>
      <x:c r="H1174" s="17"/>
      <x:c r="I1174" s="17"/>
      <x:c r="J1174" s="17"/>
      <x:c r="K1174" s="17"/>
      <x:c r="L1174" s="17"/>
      <x:c r="M1174" s="17"/>
      <x:c r="N1174" s="22"/>
      <x:c r="O1174" s="17"/>
    </x:row>
    <x:row r="1175">
      <x:c r="A1175" s="17"/>
      <x:c r="B1175" s="20"/>
      <x:c r="C1175" s="21"/>
      <x:c r="D1175" s="17"/>
      <x:c r="E1175" s="17"/>
      <x:c r="F1175" s="17"/>
      <x:c r="G1175" s="17"/>
      <x:c r="H1175" s="17"/>
      <x:c r="I1175" s="17"/>
      <x:c r="J1175" s="17"/>
      <x:c r="K1175" s="17"/>
      <x:c r="L1175" s="17"/>
      <x:c r="M1175" s="17"/>
      <x:c r="N1175" s="22"/>
      <x:c r="O1175" s="17"/>
    </x:row>
    <x:row r="1176">
      <x:c r="A1176" s="17"/>
      <x:c r="B1176" s="20"/>
      <x:c r="C1176" s="21"/>
      <x:c r="D1176" s="17"/>
      <x:c r="E1176" s="17"/>
      <x:c r="F1176" s="17"/>
      <x:c r="G1176" s="17"/>
      <x:c r="H1176" s="17"/>
      <x:c r="I1176" s="17"/>
      <x:c r="J1176" s="17"/>
      <x:c r="K1176" s="17"/>
      <x:c r="L1176" s="17"/>
      <x:c r="M1176" s="17"/>
      <x:c r="N1176" s="22"/>
      <x:c r="O1176" s="17"/>
    </x:row>
    <x:row r="1177">
      <x:c r="A1177" s="17"/>
      <x:c r="B1177" s="20"/>
      <x:c r="C1177" s="21"/>
      <x:c r="D1177" s="17"/>
      <x:c r="E1177" s="17"/>
      <x:c r="F1177" s="17"/>
      <x:c r="G1177" s="17"/>
      <x:c r="H1177" s="17"/>
      <x:c r="I1177" s="17"/>
      <x:c r="J1177" s="17"/>
      <x:c r="K1177" s="17"/>
      <x:c r="L1177" s="17"/>
      <x:c r="M1177" s="17"/>
      <x:c r="N1177" s="22"/>
      <x:c r="O1177" s="17"/>
    </x:row>
    <x:row r="1178">
      <x:c r="A1178" s="17"/>
      <x:c r="B1178" s="20"/>
      <x:c r="C1178" s="21"/>
      <x:c r="D1178" s="17"/>
      <x:c r="E1178" s="17"/>
      <x:c r="F1178" s="17"/>
      <x:c r="G1178" s="17"/>
      <x:c r="H1178" s="17"/>
      <x:c r="I1178" s="17"/>
      <x:c r="J1178" s="17"/>
      <x:c r="K1178" s="17"/>
      <x:c r="L1178" s="17"/>
      <x:c r="M1178" s="17"/>
      <x:c r="N1178" s="22"/>
      <x:c r="O1178" s="17"/>
    </x:row>
    <x:row r="1179">
      <x:c r="A1179" s="17"/>
      <x:c r="B1179" s="20"/>
      <x:c r="C1179" s="21"/>
      <x:c r="D1179" s="17"/>
      <x:c r="E1179" s="17"/>
      <x:c r="F1179" s="17"/>
      <x:c r="G1179" s="17"/>
      <x:c r="H1179" s="17"/>
      <x:c r="I1179" s="17"/>
      <x:c r="J1179" s="17"/>
      <x:c r="K1179" s="17"/>
      <x:c r="L1179" s="17"/>
      <x:c r="M1179" s="17"/>
      <x:c r="N1179" s="22"/>
      <x:c r="O1179" s="17"/>
    </x:row>
    <x:row r="1180">
      <x:c r="A1180" s="17"/>
      <x:c r="B1180" s="20"/>
      <x:c r="C1180" s="21"/>
      <x:c r="D1180" s="17"/>
      <x:c r="E1180" s="17"/>
      <x:c r="F1180" s="17"/>
      <x:c r="G1180" s="17"/>
      <x:c r="H1180" s="17"/>
      <x:c r="I1180" s="17"/>
      <x:c r="J1180" s="17"/>
      <x:c r="K1180" s="17"/>
      <x:c r="L1180" s="17"/>
      <x:c r="M1180" s="17"/>
      <x:c r="N1180" s="22"/>
      <x:c r="O1180" s="17"/>
    </x:row>
    <x:row r="1181">
      <x:c r="A1181" s="17"/>
      <x:c r="B1181" s="20"/>
      <x:c r="C1181" s="21"/>
      <x:c r="D1181" s="17"/>
      <x:c r="E1181" s="17"/>
      <x:c r="F1181" s="17"/>
      <x:c r="G1181" s="17"/>
      <x:c r="H1181" s="17"/>
      <x:c r="I1181" s="17"/>
      <x:c r="J1181" s="17"/>
      <x:c r="K1181" s="17"/>
      <x:c r="L1181" s="17"/>
      <x:c r="M1181" s="17"/>
      <x:c r="N1181" s="22"/>
      <x:c r="O1181" s="17"/>
    </x:row>
    <x:row r="1182">
      <x:c r="A1182" s="17"/>
      <x:c r="B1182" s="20"/>
      <x:c r="C1182" s="21"/>
      <x:c r="D1182" s="17"/>
      <x:c r="E1182" s="17"/>
      <x:c r="F1182" s="17"/>
      <x:c r="G1182" s="17"/>
      <x:c r="H1182" s="17"/>
      <x:c r="I1182" s="17"/>
      <x:c r="J1182" s="17"/>
      <x:c r="K1182" s="17"/>
      <x:c r="L1182" s="17"/>
      <x:c r="M1182" s="17"/>
      <x:c r="N1182" s="22"/>
      <x:c r="O1182" s="17"/>
    </x:row>
    <x:row r="1183">
      <x:c r="A1183" s="17"/>
      <x:c r="B1183" s="20"/>
      <x:c r="C1183" s="21"/>
      <x:c r="D1183" s="17"/>
      <x:c r="E1183" s="17"/>
      <x:c r="F1183" s="17"/>
      <x:c r="G1183" s="17"/>
      <x:c r="H1183" s="17"/>
      <x:c r="I1183" s="17"/>
      <x:c r="J1183" s="17"/>
      <x:c r="K1183" s="17"/>
      <x:c r="L1183" s="17"/>
      <x:c r="M1183" s="17"/>
      <x:c r="N1183" s="22"/>
      <x:c r="O1183" s="17"/>
    </x:row>
    <x:row r="1184">
      <x:c r="A1184" s="17"/>
      <x:c r="B1184" s="20"/>
      <x:c r="C1184" s="21"/>
      <x:c r="D1184" s="17"/>
      <x:c r="E1184" s="17"/>
      <x:c r="F1184" s="17"/>
      <x:c r="G1184" s="17"/>
      <x:c r="H1184" s="17"/>
      <x:c r="I1184" s="17"/>
      <x:c r="J1184" s="17"/>
      <x:c r="K1184" s="17"/>
      <x:c r="L1184" s="17"/>
      <x:c r="M1184" s="17"/>
      <x:c r="N1184" s="22"/>
      <x:c r="O1184" s="17"/>
    </x:row>
    <x:row r="1185">
      <x:c r="A1185" s="17"/>
      <x:c r="B1185" s="20"/>
      <x:c r="C1185" s="21"/>
      <x:c r="D1185" s="17"/>
      <x:c r="E1185" s="17"/>
      <x:c r="F1185" s="17"/>
      <x:c r="G1185" s="17"/>
      <x:c r="H1185" s="17"/>
      <x:c r="I1185" s="17"/>
      <x:c r="J1185" s="17"/>
      <x:c r="K1185" s="17"/>
      <x:c r="L1185" s="17"/>
      <x:c r="M1185" s="17"/>
      <x:c r="N1185" s="22"/>
      <x:c r="O1185" s="17"/>
    </x:row>
    <x:row r="1186">
      <x:c r="A1186" s="17"/>
      <x:c r="B1186" s="20"/>
      <x:c r="C1186" s="21"/>
      <x:c r="D1186" s="17"/>
      <x:c r="E1186" s="17"/>
      <x:c r="F1186" s="17"/>
      <x:c r="G1186" s="17"/>
      <x:c r="H1186" s="17"/>
      <x:c r="I1186" s="17"/>
      <x:c r="J1186" s="17"/>
      <x:c r="K1186" s="17"/>
      <x:c r="L1186" s="17"/>
      <x:c r="M1186" s="17"/>
      <x:c r="N1186" s="22"/>
      <x:c r="O1186" s="17"/>
    </x:row>
    <x:row r="1187">
      <x:c r="A1187" s="17"/>
      <x:c r="B1187" s="20"/>
      <x:c r="C1187" s="21"/>
      <x:c r="D1187" s="17"/>
      <x:c r="E1187" s="17"/>
      <x:c r="F1187" s="17"/>
      <x:c r="G1187" s="17"/>
      <x:c r="H1187" s="17"/>
      <x:c r="I1187" s="17"/>
      <x:c r="J1187" s="17"/>
      <x:c r="K1187" s="17"/>
      <x:c r="L1187" s="17"/>
      <x:c r="M1187" s="17"/>
      <x:c r="N1187" s="22"/>
      <x:c r="O1187" s="17"/>
    </x:row>
    <x:row r="1188">
      <x:c r="A1188" s="17"/>
      <x:c r="B1188" s="20"/>
      <x:c r="C1188" s="21"/>
      <x:c r="D1188" s="17"/>
      <x:c r="E1188" s="17"/>
      <x:c r="F1188" s="17"/>
      <x:c r="G1188" s="17"/>
      <x:c r="H1188" s="17"/>
      <x:c r="I1188" s="17"/>
      <x:c r="J1188" s="17"/>
      <x:c r="K1188" s="17"/>
      <x:c r="L1188" s="17"/>
      <x:c r="M1188" s="17"/>
      <x:c r="N1188" s="22"/>
      <x:c r="O1188" s="17"/>
    </x:row>
    <x:row r="1189">
      <x:c r="A1189" s="17"/>
      <x:c r="B1189" s="20"/>
      <x:c r="C1189" s="21"/>
      <x:c r="D1189" s="17"/>
      <x:c r="E1189" s="17"/>
      <x:c r="F1189" s="17"/>
      <x:c r="G1189" s="17"/>
      <x:c r="H1189" s="17"/>
      <x:c r="I1189" s="17"/>
      <x:c r="J1189" s="17"/>
      <x:c r="K1189" s="17"/>
      <x:c r="L1189" s="17"/>
      <x:c r="M1189" s="17"/>
      <x:c r="N1189" s="22"/>
      <x:c r="O1189" s="17"/>
    </x:row>
    <x:row r="1190">
      <x:c r="A1190" s="17"/>
      <x:c r="B1190" s="20"/>
      <x:c r="C1190" s="21"/>
      <x:c r="D1190" s="17"/>
      <x:c r="E1190" s="17"/>
      <x:c r="F1190" s="17"/>
      <x:c r="G1190" s="17"/>
      <x:c r="H1190" s="17"/>
      <x:c r="I1190" s="17"/>
      <x:c r="J1190" s="17"/>
      <x:c r="K1190" s="17"/>
      <x:c r="L1190" s="17"/>
      <x:c r="M1190" s="17"/>
      <x:c r="N1190" s="22"/>
      <x:c r="O1190" s="17"/>
    </x:row>
    <x:row r="1191">
      <x:c r="A1191" s="17"/>
      <x:c r="B1191" s="20"/>
      <x:c r="C1191" s="21"/>
      <x:c r="D1191" s="17"/>
      <x:c r="E1191" s="17"/>
      <x:c r="F1191" s="17"/>
      <x:c r="G1191" s="17"/>
      <x:c r="H1191" s="17"/>
      <x:c r="I1191" s="17"/>
      <x:c r="J1191" s="17"/>
      <x:c r="K1191" s="17"/>
      <x:c r="L1191" s="17"/>
      <x:c r="M1191" s="17"/>
      <x:c r="N1191" s="22"/>
      <x:c r="O1191" s="17"/>
    </x:row>
    <x:row r="1192">
      <x:c r="A1192" s="17"/>
      <x:c r="B1192" s="20"/>
      <x:c r="C1192" s="21"/>
      <x:c r="D1192" s="17"/>
      <x:c r="E1192" s="17"/>
      <x:c r="F1192" s="17"/>
      <x:c r="G1192" s="17"/>
      <x:c r="H1192" s="17"/>
      <x:c r="I1192" s="17"/>
      <x:c r="J1192" s="17"/>
      <x:c r="K1192" s="17"/>
      <x:c r="L1192" s="17"/>
      <x:c r="M1192" s="17"/>
      <x:c r="N1192" s="22"/>
      <x:c r="O1192" s="17"/>
    </x:row>
    <x:row r="1193">
      <x:c r="A1193" s="17"/>
      <x:c r="B1193" s="20"/>
      <x:c r="C1193" s="21"/>
      <x:c r="D1193" s="17"/>
      <x:c r="E1193" s="17"/>
      <x:c r="F1193" s="17"/>
      <x:c r="G1193" s="17"/>
      <x:c r="H1193" s="17"/>
      <x:c r="I1193" s="17"/>
      <x:c r="J1193" s="17"/>
      <x:c r="K1193" s="17"/>
      <x:c r="L1193" s="17"/>
      <x:c r="M1193" s="17"/>
      <x:c r="N1193" s="22"/>
      <x:c r="O1193" s="17"/>
    </x:row>
    <x:row r="1194">
      <x:c r="A1194" s="17"/>
      <x:c r="B1194" s="20"/>
      <x:c r="C1194" s="21"/>
      <x:c r="D1194" s="17"/>
      <x:c r="E1194" s="17"/>
      <x:c r="F1194" s="17"/>
      <x:c r="G1194" s="17"/>
      <x:c r="H1194" s="17"/>
      <x:c r="I1194" s="17"/>
      <x:c r="J1194" s="17"/>
      <x:c r="K1194" s="17"/>
      <x:c r="L1194" s="17"/>
      <x:c r="M1194" s="17"/>
      <x:c r="N1194" s="22"/>
      <x:c r="O1194" s="17"/>
    </x:row>
    <x:row r="1195">
      <x:c r="A1195" s="17"/>
      <x:c r="B1195" s="20"/>
      <x:c r="C1195" s="21"/>
      <x:c r="D1195" s="17"/>
      <x:c r="E1195" s="17"/>
      <x:c r="F1195" s="17"/>
      <x:c r="G1195" s="17"/>
      <x:c r="H1195" s="17"/>
      <x:c r="I1195" s="17"/>
      <x:c r="J1195" s="17"/>
      <x:c r="K1195" s="17"/>
      <x:c r="L1195" s="17"/>
      <x:c r="M1195" s="17"/>
      <x:c r="N1195" s="22"/>
      <x:c r="O1195" s="17"/>
    </x:row>
    <x:row r="1196">
      <x:c r="A1196" s="17"/>
      <x:c r="B1196" s="20"/>
      <x:c r="C1196" s="21"/>
      <x:c r="D1196" s="17"/>
      <x:c r="E1196" s="17"/>
      <x:c r="F1196" s="17"/>
      <x:c r="G1196" s="17"/>
      <x:c r="H1196" s="17"/>
      <x:c r="I1196" s="17"/>
      <x:c r="J1196" s="17"/>
      <x:c r="K1196" s="17"/>
      <x:c r="L1196" s="17"/>
      <x:c r="M1196" s="17"/>
      <x:c r="N1196" s="22"/>
      <x:c r="O1196" s="17"/>
    </x:row>
    <x:row r="1197">
      <x:c r="A1197" s="17"/>
      <x:c r="B1197" s="20"/>
      <x:c r="C1197" s="21"/>
      <x:c r="D1197" s="17"/>
      <x:c r="E1197" s="17"/>
      <x:c r="F1197" s="17"/>
      <x:c r="G1197" s="17"/>
      <x:c r="H1197" s="17"/>
      <x:c r="I1197" s="17"/>
      <x:c r="J1197" s="17"/>
      <x:c r="K1197" s="17"/>
      <x:c r="L1197" s="17"/>
      <x:c r="M1197" s="17"/>
      <x:c r="N1197" s="22"/>
      <x:c r="O1197" s="17"/>
    </x:row>
    <x:row r="1198">
      <x:c r="A1198" s="17"/>
      <x:c r="B1198" s="20"/>
      <x:c r="C1198" s="21"/>
      <x:c r="D1198" s="17"/>
      <x:c r="E1198" s="17"/>
      <x:c r="F1198" s="17"/>
      <x:c r="G1198" s="17"/>
      <x:c r="H1198" s="17"/>
      <x:c r="I1198" s="17"/>
      <x:c r="J1198" s="17"/>
      <x:c r="K1198" s="17"/>
      <x:c r="L1198" s="17"/>
      <x:c r="M1198" s="17"/>
      <x:c r="N1198" s="22"/>
      <x:c r="O1198" s="17"/>
    </x:row>
    <x:row r="1199">
      <x:c r="A1199" s="17"/>
      <x:c r="B1199" s="20"/>
      <x:c r="C1199" s="21"/>
      <x:c r="D1199" s="17"/>
      <x:c r="E1199" s="17"/>
      <x:c r="F1199" s="17"/>
      <x:c r="G1199" s="17"/>
      <x:c r="H1199" s="17"/>
      <x:c r="I1199" s="17"/>
      <x:c r="J1199" s="17"/>
      <x:c r="K1199" s="17"/>
      <x:c r="L1199" s="17"/>
      <x:c r="M1199" s="17"/>
      <x:c r="N1199" s="22"/>
      <x:c r="O1199" s="17"/>
    </x:row>
    <x:row r="1200">
      <x:c r="A1200" s="17"/>
      <x:c r="B1200" s="20"/>
      <x:c r="C1200" s="21"/>
      <x:c r="D1200" s="17"/>
      <x:c r="E1200" s="17"/>
      <x:c r="F1200" s="17"/>
      <x:c r="G1200" s="17"/>
      <x:c r="H1200" s="17"/>
      <x:c r="I1200" s="17"/>
      <x:c r="J1200" s="17"/>
      <x:c r="K1200" s="17"/>
      <x:c r="L1200" s="17"/>
      <x:c r="M1200" s="17"/>
      <x:c r="N1200" s="22"/>
      <x:c r="O1200" s="17"/>
    </x:row>
    <x:row r="1201">
      <x:c r="A1201" s="17"/>
      <x:c r="B1201" s="20"/>
      <x:c r="C1201" s="21"/>
      <x:c r="D1201" s="17"/>
      <x:c r="E1201" s="17"/>
      <x:c r="F1201" s="17"/>
      <x:c r="G1201" s="17"/>
      <x:c r="H1201" s="17"/>
      <x:c r="I1201" s="17"/>
      <x:c r="J1201" s="17"/>
      <x:c r="K1201" s="17"/>
      <x:c r="L1201" s="17"/>
      <x:c r="M1201" s="17"/>
      <x:c r="N1201" s="22"/>
      <x:c r="O1201" s="17"/>
    </x:row>
    <x:row r="1202">
      <x:c r="A1202" s="17"/>
      <x:c r="B1202" s="20"/>
      <x:c r="C1202" s="21"/>
      <x:c r="D1202" s="17"/>
      <x:c r="E1202" s="17"/>
      <x:c r="F1202" s="17"/>
      <x:c r="G1202" s="17"/>
      <x:c r="H1202" s="17"/>
      <x:c r="I1202" s="17"/>
      <x:c r="J1202" s="17"/>
      <x:c r="K1202" s="17"/>
      <x:c r="L1202" s="17"/>
      <x:c r="M1202" s="17"/>
      <x:c r="N1202" s="22"/>
      <x:c r="O1202" s="17"/>
    </x:row>
    <x:row r="1203">
      <x:c r="A1203" s="17"/>
      <x:c r="B1203" s="20"/>
      <x:c r="C1203" s="21"/>
      <x:c r="D1203" s="17"/>
      <x:c r="E1203" s="17"/>
      <x:c r="F1203" s="17"/>
      <x:c r="G1203" s="17"/>
      <x:c r="H1203" s="17"/>
      <x:c r="I1203" s="17"/>
      <x:c r="J1203" s="17"/>
      <x:c r="K1203" s="17"/>
      <x:c r="L1203" s="17"/>
      <x:c r="M1203" s="17"/>
      <x:c r="N1203" s="22"/>
      <x:c r="O1203" s="17"/>
    </x:row>
    <x:row r="1204">
      <x:c r="A1204" s="17"/>
      <x:c r="B1204" s="20"/>
      <x:c r="C1204" s="21"/>
      <x:c r="D1204" s="17"/>
      <x:c r="E1204" s="17"/>
      <x:c r="F1204" s="17"/>
      <x:c r="G1204" s="17"/>
      <x:c r="H1204" s="17"/>
      <x:c r="I1204" s="17"/>
      <x:c r="J1204" s="17"/>
      <x:c r="K1204" s="17"/>
      <x:c r="L1204" s="17"/>
      <x:c r="M1204" s="17"/>
      <x:c r="N1204" s="22"/>
      <x:c r="O1204" s="17"/>
    </x:row>
    <x:row r="1205">
      <x:c r="A1205" s="17"/>
      <x:c r="B1205" s="20"/>
      <x:c r="C1205" s="21"/>
      <x:c r="D1205" s="17"/>
      <x:c r="E1205" s="17"/>
      <x:c r="F1205" s="17"/>
      <x:c r="G1205" s="17"/>
      <x:c r="H1205" s="17"/>
      <x:c r="I1205" s="17"/>
      <x:c r="J1205" s="17"/>
      <x:c r="K1205" s="17"/>
      <x:c r="L1205" s="17"/>
      <x:c r="M1205" s="17"/>
      <x:c r="N1205" s="22"/>
      <x:c r="O1205" s="17"/>
    </x:row>
    <x:row r="1206">
      <x:c r="A1206" s="17"/>
      <x:c r="B1206" s="20"/>
      <x:c r="C1206" s="21"/>
      <x:c r="D1206" s="17"/>
      <x:c r="E1206" s="17"/>
      <x:c r="F1206" s="17"/>
      <x:c r="G1206" s="17"/>
      <x:c r="H1206" s="17"/>
      <x:c r="I1206" s="17"/>
      <x:c r="J1206" s="17"/>
      <x:c r="K1206" s="17"/>
      <x:c r="L1206" s="17"/>
      <x:c r="M1206" s="17"/>
      <x:c r="N1206" s="22"/>
      <x:c r="O1206" s="17"/>
    </x:row>
    <x:row r="1207">
      <x:c r="A1207" s="17"/>
      <x:c r="B1207" s="20"/>
      <x:c r="C1207" s="21"/>
      <x:c r="D1207" s="17"/>
      <x:c r="E1207" s="17"/>
      <x:c r="F1207" s="17"/>
      <x:c r="G1207" s="17"/>
      <x:c r="H1207" s="17"/>
      <x:c r="I1207" s="17"/>
      <x:c r="J1207" s="17"/>
      <x:c r="K1207" s="17"/>
      <x:c r="L1207" s="17"/>
      <x:c r="M1207" s="17"/>
      <x:c r="N1207" s="22"/>
      <x:c r="O1207" s="17"/>
    </x:row>
    <x:row r="1208">
      <x:c r="A1208" s="17"/>
      <x:c r="B1208" s="20"/>
      <x:c r="C1208" s="21"/>
      <x:c r="D1208" s="17"/>
      <x:c r="E1208" s="17"/>
      <x:c r="F1208" s="17"/>
      <x:c r="G1208" s="17"/>
      <x:c r="H1208" s="17"/>
      <x:c r="I1208" s="17"/>
      <x:c r="J1208" s="17"/>
      <x:c r="K1208" s="17"/>
      <x:c r="L1208" s="17"/>
      <x:c r="M1208" s="17"/>
      <x:c r="N1208" s="22"/>
      <x:c r="O1208" s="17"/>
    </x:row>
    <x:row r="1209">
      <x:c r="A1209" s="17"/>
      <x:c r="B1209" s="20"/>
      <x:c r="C1209" s="21"/>
      <x:c r="D1209" s="17"/>
      <x:c r="E1209" s="17"/>
      <x:c r="F1209" s="17"/>
      <x:c r="G1209" s="17"/>
      <x:c r="H1209" s="17"/>
      <x:c r="I1209" s="17"/>
      <x:c r="J1209" s="17"/>
      <x:c r="K1209" s="17"/>
      <x:c r="L1209" s="17"/>
      <x:c r="M1209" s="17"/>
      <x:c r="N1209" s="22"/>
      <x:c r="O1209" s="17"/>
    </x:row>
    <x:row r="1210">
      <x:c r="A1210" s="17"/>
      <x:c r="B1210" s="20"/>
      <x:c r="C1210" s="21"/>
      <x:c r="D1210" s="17"/>
      <x:c r="E1210" s="17"/>
      <x:c r="F1210" s="17"/>
      <x:c r="G1210" s="17"/>
      <x:c r="H1210" s="17"/>
      <x:c r="I1210" s="17"/>
      <x:c r="J1210" s="17"/>
      <x:c r="K1210" s="17"/>
      <x:c r="L1210" s="17"/>
      <x:c r="M1210" s="17"/>
      <x:c r="N1210" s="22"/>
      <x:c r="O1210" s="17"/>
    </x:row>
    <x:row r="1211">
      <x:c r="A1211" s="17"/>
      <x:c r="B1211" s="20"/>
      <x:c r="C1211" s="21"/>
      <x:c r="D1211" s="17"/>
      <x:c r="E1211" s="17"/>
      <x:c r="F1211" s="17"/>
      <x:c r="G1211" s="17"/>
      <x:c r="H1211" s="17"/>
      <x:c r="I1211" s="17"/>
      <x:c r="J1211" s="17"/>
      <x:c r="K1211" s="17"/>
      <x:c r="L1211" s="17"/>
      <x:c r="M1211" s="17"/>
      <x:c r="N1211" s="22"/>
      <x:c r="O1211" s="17"/>
    </x:row>
    <x:row r="1212">
      <x:c r="A1212" s="17"/>
      <x:c r="B1212" s="20"/>
      <x:c r="C1212" s="21"/>
      <x:c r="D1212" s="17"/>
      <x:c r="E1212" s="17"/>
      <x:c r="F1212" s="17"/>
      <x:c r="G1212" s="17"/>
      <x:c r="H1212" s="17"/>
      <x:c r="I1212" s="17"/>
      <x:c r="J1212" s="17"/>
      <x:c r="K1212" s="17"/>
      <x:c r="L1212" s="17"/>
      <x:c r="M1212" s="17"/>
      <x:c r="N1212" s="22"/>
      <x:c r="O1212" s="17"/>
    </x:row>
    <x:row r="1213">
      <x:c r="A1213" s="17"/>
      <x:c r="B1213" s="20"/>
      <x:c r="C1213" s="21"/>
      <x:c r="D1213" s="17"/>
      <x:c r="E1213" s="17"/>
      <x:c r="F1213" s="17"/>
      <x:c r="G1213" s="17"/>
      <x:c r="H1213" s="17"/>
      <x:c r="I1213" s="17"/>
      <x:c r="J1213" s="17"/>
      <x:c r="K1213" s="17"/>
      <x:c r="L1213" s="17"/>
      <x:c r="M1213" s="17"/>
      <x:c r="N1213" s="22"/>
      <x:c r="O1213" s="17"/>
    </x:row>
    <x:row r="1214">
      <x:c r="A1214" s="17"/>
      <x:c r="B1214" s="20"/>
      <x:c r="C1214" s="21"/>
      <x:c r="D1214" s="17"/>
      <x:c r="E1214" s="17"/>
      <x:c r="F1214" s="17"/>
      <x:c r="G1214" s="17"/>
      <x:c r="H1214" s="17"/>
      <x:c r="I1214" s="17"/>
      <x:c r="J1214" s="17"/>
      <x:c r="K1214" s="17"/>
      <x:c r="L1214" s="17"/>
      <x:c r="M1214" s="17"/>
      <x:c r="N1214" s="22"/>
      <x:c r="O1214" s="17"/>
    </x:row>
    <x:row r="1215">
      <x:c r="A1215" s="17"/>
      <x:c r="B1215" s="20"/>
      <x:c r="C1215" s="21"/>
      <x:c r="D1215" s="17"/>
      <x:c r="E1215" s="17"/>
      <x:c r="F1215" s="17"/>
      <x:c r="G1215" s="17"/>
      <x:c r="H1215" s="17"/>
      <x:c r="I1215" s="17"/>
      <x:c r="J1215" s="17"/>
      <x:c r="K1215" s="17"/>
      <x:c r="L1215" s="17"/>
      <x:c r="M1215" s="17"/>
      <x:c r="N1215" s="22"/>
      <x:c r="O1215" s="17"/>
    </x:row>
    <x:row r="1216">
      <x:c r="A1216" s="17"/>
      <x:c r="B1216" s="20"/>
      <x:c r="C1216" s="21"/>
      <x:c r="D1216" s="17"/>
      <x:c r="E1216" s="17"/>
      <x:c r="F1216" s="17"/>
      <x:c r="G1216" s="17"/>
      <x:c r="H1216" s="17"/>
      <x:c r="I1216" s="17"/>
      <x:c r="J1216" s="17"/>
      <x:c r="K1216" s="17"/>
      <x:c r="L1216" s="17"/>
      <x:c r="M1216" s="17"/>
      <x:c r="N1216" s="22"/>
      <x:c r="O1216" s="17"/>
    </x:row>
    <x:row r="1217">
      <x:c r="A1217" s="17"/>
      <x:c r="B1217" s="20"/>
      <x:c r="C1217" s="21"/>
      <x:c r="D1217" s="17"/>
      <x:c r="E1217" s="17"/>
      <x:c r="F1217" s="17"/>
      <x:c r="G1217" s="17"/>
      <x:c r="H1217" s="17"/>
      <x:c r="I1217" s="17"/>
      <x:c r="J1217" s="17"/>
      <x:c r="K1217" s="17"/>
      <x:c r="L1217" s="17"/>
      <x:c r="M1217" s="17"/>
      <x:c r="N1217" s="22"/>
      <x:c r="O1217" s="17"/>
    </x:row>
    <x:row r="1218">
      <x:c r="A1218" s="17"/>
      <x:c r="B1218" s="20"/>
      <x:c r="C1218" s="21"/>
      <x:c r="D1218" s="17"/>
      <x:c r="E1218" s="17"/>
      <x:c r="F1218" s="17"/>
      <x:c r="G1218" s="17"/>
      <x:c r="H1218" s="17"/>
      <x:c r="I1218" s="17"/>
      <x:c r="J1218" s="17"/>
      <x:c r="K1218" s="17"/>
      <x:c r="L1218" s="17"/>
      <x:c r="M1218" s="17"/>
      <x:c r="N1218" s="22"/>
      <x:c r="O1218" s="17"/>
    </x:row>
    <x:row r="1219">
      <x:c r="A1219" s="17"/>
      <x:c r="B1219" s="20"/>
      <x:c r="C1219" s="21"/>
      <x:c r="D1219" s="17"/>
      <x:c r="E1219" s="17"/>
      <x:c r="F1219" s="17"/>
      <x:c r="G1219" s="17"/>
      <x:c r="H1219" s="17"/>
      <x:c r="I1219" s="17"/>
      <x:c r="J1219" s="17"/>
      <x:c r="K1219" s="17"/>
      <x:c r="L1219" s="17"/>
      <x:c r="M1219" s="17"/>
      <x:c r="N1219" s="22"/>
      <x:c r="O1219" s="17"/>
    </x:row>
    <x:row r="1220">
      <x:c r="A1220" s="17"/>
      <x:c r="B1220" s="20"/>
      <x:c r="C1220" s="21"/>
      <x:c r="D1220" s="17"/>
      <x:c r="E1220" s="17"/>
      <x:c r="F1220" s="17"/>
      <x:c r="G1220" s="17"/>
      <x:c r="H1220" s="17"/>
      <x:c r="I1220" s="17"/>
      <x:c r="J1220" s="17"/>
      <x:c r="K1220" s="17"/>
      <x:c r="L1220" s="17"/>
      <x:c r="M1220" s="17"/>
      <x:c r="N1220" s="22"/>
      <x:c r="O1220" s="17"/>
    </x:row>
    <x:row r="1221">
      <x:c r="A1221" s="17"/>
      <x:c r="B1221" s="20"/>
      <x:c r="C1221" s="21"/>
      <x:c r="D1221" s="17"/>
      <x:c r="E1221" s="17"/>
      <x:c r="F1221" s="17"/>
      <x:c r="G1221" s="17"/>
      <x:c r="H1221" s="17"/>
      <x:c r="I1221" s="17"/>
      <x:c r="J1221" s="17"/>
      <x:c r="K1221" s="17"/>
      <x:c r="L1221" s="17"/>
      <x:c r="M1221" s="17"/>
      <x:c r="N1221" s="22"/>
      <x:c r="O1221" s="17"/>
    </x:row>
    <x:row r="1222">
      <x:c r="A1222" s="17"/>
      <x:c r="B1222" s="20"/>
      <x:c r="C1222" s="21"/>
      <x:c r="D1222" s="17"/>
      <x:c r="E1222" s="17"/>
      <x:c r="F1222" s="17"/>
      <x:c r="G1222" s="17"/>
      <x:c r="H1222" s="17"/>
      <x:c r="I1222" s="17"/>
      <x:c r="J1222" s="17"/>
      <x:c r="K1222" s="17"/>
      <x:c r="L1222" s="17"/>
      <x:c r="M1222" s="17"/>
      <x:c r="N1222" s="22"/>
      <x:c r="O1222" s="17"/>
    </x:row>
    <x:row r="1223">
      <x:c r="A1223" s="17"/>
      <x:c r="B1223" s="20"/>
      <x:c r="C1223" s="21"/>
      <x:c r="D1223" s="17"/>
      <x:c r="E1223" s="17"/>
      <x:c r="F1223" s="17"/>
      <x:c r="G1223" s="17"/>
      <x:c r="H1223" s="17"/>
      <x:c r="I1223" s="17"/>
      <x:c r="J1223" s="17"/>
      <x:c r="K1223" s="17"/>
      <x:c r="L1223" s="17"/>
      <x:c r="M1223" s="17"/>
      <x:c r="N1223" s="22"/>
      <x:c r="O1223" s="17"/>
    </x:row>
    <x:row r="1224">
      <x:c r="A1224" s="17"/>
      <x:c r="B1224" s="20"/>
      <x:c r="C1224" s="21"/>
      <x:c r="D1224" s="17"/>
      <x:c r="E1224" s="17"/>
      <x:c r="F1224" s="17"/>
      <x:c r="G1224" s="17"/>
      <x:c r="H1224" s="17"/>
      <x:c r="I1224" s="17"/>
      <x:c r="J1224" s="17"/>
      <x:c r="K1224" s="17"/>
      <x:c r="L1224" s="17"/>
      <x:c r="M1224" s="17"/>
      <x:c r="N1224" s="22"/>
      <x:c r="O1224" s="17"/>
    </x:row>
    <x:row r="1225">
      <x:c r="A1225" s="17"/>
      <x:c r="B1225" s="20"/>
      <x:c r="C1225" s="21"/>
      <x:c r="D1225" s="17"/>
      <x:c r="E1225" s="17"/>
      <x:c r="F1225" s="17"/>
      <x:c r="G1225" s="17"/>
      <x:c r="H1225" s="17"/>
      <x:c r="I1225" s="17"/>
      <x:c r="J1225" s="17"/>
      <x:c r="K1225" s="17"/>
      <x:c r="L1225" s="17"/>
      <x:c r="M1225" s="17"/>
      <x:c r="N1225" s="22"/>
      <x:c r="O1225" s="17"/>
    </x:row>
    <x:row r="1226">
      <x:c r="A1226" s="17"/>
      <x:c r="B1226" s="20"/>
      <x:c r="C1226" s="21"/>
      <x:c r="D1226" s="17"/>
      <x:c r="E1226" s="17"/>
      <x:c r="F1226" s="17"/>
      <x:c r="G1226" s="17"/>
      <x:c r="H1226" s="17"/>
      <x:c r="I1226" s="17"/>
      <x:c r="J1226" s="17"/>
      <x:c r="K1226" s="17"/>
      <x:c r="L1226" s="17"/>
      <x:c r="M1226" s="17"/>
      <x:c r="N1226" s="22"/>
      <x:c r="O1226" s="17"/>
    </x:row>
    <x:row r="1227">
      <x:c r="A1227" s="17"/>
      <x:c r="B1227" s="20"/>
      <x:c r="C1227" s="21"/>
      <x:c r="D1227" s="17"/>
      <x:c r="E1227" s="17"/>
      <x:c r="F1227" s="17"/>
      <x:c r="G1227" s="17"/>
      <x:c r="H1227" s="17"/>
      <x:c r="I1227" s="17"/>
      <x:c r="J1227" s="17"/>
      <x:c r="K1227" s="17"/>
      <x:c r="L1227" s="17"/>
      <x:c r="M1227" s="17"/>
      <x:c r="N1227" s="22"/>
      <x:c r="O1227" s="17"/>
    </x:row>
    <x:row r="1228">
      <x:c r="A1228" s="17"/>
      <x:c r="B1228" s="20"/>
      <x:c r="C1228" s="21"/>
      <x:c r="D1228" s="17"/>
      <x:c r="E1228" s="17"/>
      <x:c r="F1228" s="17"/>
      <x:c r="G1228" s="17"/>
      <x:c r="H1228" s="17"/>
      <x:c r="I1228" s="17"/>
      <x:c r="J1228" s="17"/>
      <x:c r="K1228" s="17"/>
      <x:c r="L1228" s="17"/>
      <x:c r="M1228" s="17"/>
      <x:c r="N1228" s="22"/>
      <x:c r="O1228" s="17"/>
    </x:row>
    <x:row r="1229">
      <x:c r="A1229" s="17"/>
      <x:c r="B1229" s="20"/>
      <x:c r="C1229" s="21"/>
      <x:c r="D1229" s="17"/>
      <x:c r="E1229" s="17"/>
      <x:c r="F1229" s="17"/>
      <x:c r="G1229" s="17"/>
      <x:c r="H1229" s="17"/>
      <x:c r="I1229" s="17"/>
      <x:c r="J1229" s="17"/>
      <x:c r="K1229" s="17"/>
      <x:c r="L1229" s="17"/>
      <x:c r="M1229" s="17"/>
      <x:c r="N1229" s="22"/>
      <x:c r="O1229" s="17"/>
    </x:row>
    <x:row r="1230">
      <x:c r="A1230" s="17"/>
      <x:c r="B1230" s="20"/>
      <x:c r="C1230" s="21"/>
      <x:c r="D1230" s="17"/>
      <x:c r="E1230" s="17"/>
      <x:c r="F1230" s="17"/>
      <x:c r="G1230" s="17"/>
      <x:c r="H1230" s="17"/>
      <x:c r="I1230" s="17"/>
      <x:c r="J1230" s="17"/>
      <x:c r="K1230" s="17"/>
      <x:c r="L1230" s="17"/>
      <x:c r="M1230" s="17"/>
      <x:c r="N1230" s="22"/>
      <x:c r="O1230" s="17"/>
    </x:row>
    <x:row r="1231">
      <x:c r="A1231" s="17"/>
      <x:c r="B1231" s="20"/>
      <x:c r="C1231" s="21"/>
      <x:c r="D1231" s="17"/>
      <x:c r="E1231" s="17"/>
      <x:c r="F1231" s="17"/>
      <x:c r="G1231" s="17"/>
      <x:c r="H1231" s="17"/>
      <x:c r="I1231" s="17"/>
      <x:c r="J1231" s="17"/>
      <x:c r="K1231" s="17"/>
      <x:c r="L1231" s="17"/>
      <x:c r="M1231" s="17"/>
      <x:c r="N1231" s="22"/>
      <x:c r="O1231" s="17"/>
    </x:row>
    <x:row r="1232">
      <x:c r="A1232" s="17"/>
      <x:c r="B1232" s="20"/>
      <x:c r="C1232" s="21"/>
      <x:c r="D1232" s="17"/>
      <x:c r="E1232" s="17"/>
      <x:c r="F1232" s="17"/>
      <x:c r="G1232" s="17"/>
      <x:c r="H1232" s="17"/>
      <x:c r="I1232" s="17"/>
      <x:c r="J1232" s="17"/>
      <x:c r="K1232" s="17"/>
      <x:c r="L1232" s="17"/>
      <x:c r="M1232" s="17"/>
      <x:c r="N1232" s="22"/>
      <x:c r="O1232" s="17"/>
    </x:row>
    <x:row r="1233">
      <x:c r="A1233" s="17"/>
      <x:c r="B1233" s="20"/>
      <x:c r="C1233" s="21"/>
      <x:c r="D1233" s="17"/>
      <x:c r="E1233" s="17"/>
      <x:c r="F1233" s="17"/>
      <x:c r="G1233" s="17"/>
      <x:c r="H1233" s="17"/>
      <x:c r="I1233" s="17"/>
      <x:c r="J1233" s="17"/>
      <x:c r="K1233" s="17"/>
      <x:c r="L1233" s="17"/>
      <x:c r="M1233" s="17"/>
      <x:c r="N1233" s="22"/>
      <x:c r="O1233" s="17"/>
    </x:row>
    <x:row r="1234">
      <x:c r="A1234" s="17"/>
      <x:c r="B1234" s="20"/>
      <x:c r="C1234" s="21"/>
      <x:c r="D1234" s="17"/>
      <x:c r="E1234" s="17"/>
      <x:c r="F1234" s="17"/>
      <x:c r="G1234" s="17"/>
      <x:c r="H1234" s="17"/>
      <x:c r="I1234" s="17"/>
      <x:c r="J1234" s="17"/>
      <x:c r="K1234" s="17"/>
      <x:c r="L1234" s="17"/>
      <x:c r="M1234" s="17"/>
      <x:c r="N1234" s="22"/>
      <x:c r="O1234" s="17"/>
    </x:row>
    <x:row r="1235">
      <x:c r="A1235" s="17"/>
      <x:c r="B1235" s="20"/>
      <x:c r="C1235" s="21"/>
      <x:c r="D1235" s="17"/>
      <x:c r="E1235" s="17"/>
      <x:c r="F1235" s="17"/>
      <x:c r="G1235" s="17"/>
      <x:c r="H1235" s="17"/>
      <x:c r="I1235" s="17"/>
      <x:c r="J1235" s="17"/>
      <x:c r="K1235" s="17"/>
      <x:c r="L1235" s="17"/>
      <x:c r="M1235" s="17"/>
      <x:c r="N1235" s="22"/>
      <x:c r="O1235" s="17"/>
    </x:row>
    <x:row r="1236">
      <x:c r="A1236" s="17"/>
      <x:c r="B1236" s="20"/>
      <x:c r="C1236" s="21"/>
      <x:c r="D1236" s="17"/>
      <x:c r="E1236" s="17"/>
      <x:c r="F1236" s="17"/>
      <x:c r="G1236" s="17"/>
      <x:c r="H1236" s="17"/>
      <x:c r="I1236" s="17"/>
      <x:c r="J1236" s="17"/>
      <x:c r="K1236" s="17"/>
      <x:c r="L1236" s="17"/>
      <x:c r="M1236" s="17"/>
      <x:c r="N1236" s="22"/>
      <x:c r="O1236" s="17"/>
    </x:row>
    <x:row r="1237">
      <x:c r="A1237" s="17"/>
      <x:c r="B1237" s="20"/>
      <x:c r="C1237" s="21"/>
      <x:c r="D1237" s="17"/>
      <x:c r="E1237" s="17"/>
      <x:c r="F1237" s="17"/>
      <x:c r="G1237" s="17"/>
      <x:c r="H1237" s="17"/>
      <x:c r="I1237" s="17"/>
      <x:c r="J1237" s="17"/>
      <x:c r="K1237" s="17"/>
      <x:c r="L1237" s="17"/>
      <x:c r="M1237" s="17"/>
      <x:c r="N1237" s="22"/>
      <x:c r="O1237" s="17"/>
    </x:row>
    <x:row r="1238">
      <x:c r="A1238" s="17"/>
      <x:c r="B1238" s="20"/>
      <x:c r="C1238" s="21"/>
      <x:c r="D1238" s="17"/>
      <x:c r="E1238" s="17"/>
      <x:c r="F1238" s="17"/>
      <x:c r="G1238" s="17"/>
      <x:c r="H1238" s="17"/>
      <x:c r="I1238" s="17"/>
      <x:c r="J1238" s="17"/>
      <x:c r="K1238" s="17"/>
      <x:c r="L1238" s="17"/>
      <x:c r="M1238" s="17"/>
      <x:c r="N1238" s="22"/>
      <x:c r="O1238" s="17"/>
    </x:row>
    <x:row r="1239">
      <x:c r="A1239" s="17"/>
      <x:c r="B1239" s="20"/>
      <x:c r="C1239" s="21"/>
      <x:c r="D1239" s="17"/>
      <x:c r="E1239" s="17"/>
      <x:c r="F1239" s="17"/>
      <x:c r="G1239" s="17"/>
      <x:c r="H1239" s="17"/>
      <x:c r="I1239" s="17"/>
      <x:c r="J1239" s="17"/>
      <x:c r="K1239" s="17"/>
      <x:c r="L1239" s="17"/>
      <x:c r="M1239" s="17"/>
      <x:c r="N1239" s="22"/>
      <x:c r="O1239" s="17"/>
    </x:row>
    <x:row r="1240">
      <x:c r="A1240" s="17"/>
      <x:c r="B1240" s="20"/>
      <x:c r="C1240" s="21"/>
      <x:c r="D1240" s="17"/>
      <x:c r="E1240" s="17"/>
      <x:c r="F1240" s="17"/>
      <x:c r="G1240" s="17"/>
      <x:c r="H1240" s="17"/>
      <x:c r="I1240" s="17"/>
      <x:c r="J1240" s="17"/>
      <x:c r="K1240" s="17"/>
      <x:c r="L1240" s="17"/>
      <x:c r="M1240" s="17"/>
      <x:c r="N1240" s="22"/>
      <x:c r="O1240" s="17"/>
    </x:row>
    <x:row r="1241">
      <x:c r="A1241" s="17"/>
      <x:c r="B1241" s="20"/>
      <x:c r="C1241" s="21"/>
      <x:c r="D1241" s="17"/>
      <x:c r="E1241" s="17"/>
      <x:c r="F1241" s="17"/>
      <x:c r="G1241" s="17"/>
      <x:c r="H1241" s="17"/>
      <x:c r="I1241" s="17"/>
      <x:c r="J1241" s="17"/>
      <x:c r="K1241" s="17"/>
      <x:c r="L1241" s="17"/>
      <x:c r="M1241" s="17"/>
      <x:c r="N1241" s="22"/>
      <x:c r="O1241" s="17"/>
    </x:row>
    <x:row r="1242">
      <x:c r="A1242" s="17"/>
      <x:c r="B1242" s="20"/>
      <x:c r="C1242" s="21"/>
      <x:c r="D1242" s="17"/>
      <x:c r="E1242" s="17"/>
      <x:c r="F1242" s="17"/>
      <x:c r="G1242" s="17"/>
      <x:c r="H1242" s="17"/>
      <x:c r="I1242" s="17"/>
      <x:c r="J1242" s="17"/>
      <x:c r="K1242" s="17"/>
      <x:c r="L1242" s="17"/>
      <x:c r="M1242" s="17"/>
      <x:c r="N1242" s="22"/>
      <x:c r="O1242" s="17"/>
    </x:row>
    <x:row r="1243">
      <x:c r="A1243" s="17"/>
      <x:c r="B1243" s="20"/>
      <x:c r="C1243" s="21"/>
      <x:c r="D1243" s="17"/>
      <x:c r="E1243" s="17"/>
      <x:c r="F1243" s="17"/>
      <x:c r="G1243" s="17"/>
      <x:c r="H1243" s="17"/>
      <x:c r="I1243" s="17"/>
      <x:c r="J1243" s="17"/>
      <x:c r="K1243" s="17"/>
      <x:c r="L1243" s="17"/>
      <x:c r="M1243" s="17"/>
      <x:c r="N1243" s="22"/>
      <x:c r="O1243" s="17"/>
    </x:row>
    <x:row r="1244">
      <x:c r="A1244" s="17"/>
      <x:c r="B1244" s="20"/>
      <x:c r="C1244" s="21"/>
      <x:c r="D1244" s="17"/>
      <x:c r="E1244" s="17"/>
      <x:c r="F1244" s="17"/>
      <x:c r="G1244" s="17"/>
      <x:c r="H1244" s="17"/>
      <x:c r="I1244" s="17"/>
      <x:c r="J1244" s="17"/>
      <x:c r="K1244" s="17"/>
      <x:c r="L1244" s="17"/>
      <x:c r="M1244" s="17"/>
      <x:c r="N1244" s="22"/>
      <x:c r="O1244" s="17"/>
    </x:row>
    <x:row r="1245">
      <x:c r="A1245" s="17"/>
      <x:c r="B1245" s="20"/>
      <x:c r="C1245" s="21"/>
      <x:c r="D1245" s="17"/>
      <x:c r="E1245" s="17"/>
      <x:c r="F1245" s="17"/>
      <x:c r="G1245" s="17"/>
      <x:c r="H1245" s="17"/>
      <x:c r="I1245" s="17"/>
      <x:c r="J1245" s="17"/>
      <x:c r="K1245" s="17"/>
      <x:c r="L1245" s="17"/>
      <x:c r="M1245" s="17"/>
      <x:c r="N1245" s="22"/>
      <x:c r="O1245" s="17"/>
    </x:row>
    <x:row r="1246">
      <x:c r="A1246" s="17"/>
      <x:c r="B1246" s="20"/>
      <x:c r="C1246" s="21"/>
      <x:c r="D1246" s="17"/>
      <x:c r="E1246" s="17"/>
      <x:c r="F1246" s="17"/>
      <x:c r="G1246" s="17"/>
      <x:c r="H1246" s="17"/>
      <x:c r="I1246" s="17"/>
      <x:c r="J1246" s="17"/>
      <x:c r="K1246" s="17"/>
      <x:c r="L1246" s="17"/>
      <x:c r="M1246" s="17"/>
      <x:c r="N1246" s="22"/>
      <x:c r="O1246" s="17"/>
    </x:row>
    <x:row r="1247">
      <x:c r="A1247" s="17"/>
      <x:c r="B1247" s="20"/>
      <x:c r="C1247" s="21"/>
      <x:c r="D1247" s="17"/>
      <x:c r="E1247" s="17"/>
      <x:c r="F1247" s="17"/>
      <x:c r="G1247" s="17"/>
      <x:c r="H1247" s="17"/>
      <x:c r="I1247" s="17"/>
      <x:c r="J1247" s="17"/>
      <x:c r="K1247" s="17"/>
      <x:c r="L1247" s="17"/>
      <x:c r="M1247" s="17"/>
      <x:c r="N1247" s="22"/>
      <x:c r="O1247" s="17"/>
    </x:row>
    <x:row r="1248">
      <x:c r="A1248" s="17"/>
      <x:c r="B1248" s="20"/>
      <x:c r="C1248" s="21"/>
      <x:c r="D1248" s="17"/>
      <x:c r="E1248" s="17"/>
      <x:c r="F1248" s="17"/>
      <x:c r="G1248" s="17"/>
      <x:c r="H1248" s="17"/>
      <x:c r="I1248" s="17"/>
      <x:c r="J1248" s="17"/>
      <x:c r="K1248" s="17"/>
      <x:c r="L1248" s="17"/>
      <x:c r="M1248" s="17"/>
      <x:c r="N1248" s="22"/>
      <x:c r="O1248" s="17"/>
    </x:row>
    <x:row r="1249">
      <x:c r="A1249" s="17"/>
      <x:c r="B1249" s="20"/>
      <x:c r="C1249" s="21"/>
      <x:c r="D1249" s="17"/>
      <x:c r="E1249" s="17"/>
      <x:c r="F1249" s="17"/>
      <x:c r="G1249" s="17"/>
      <x:c r="H1249" s="17"/>
      <x:c r="I1249" s="17"/>
      <x:c r="J1249" s="17"/>
      <x:c r="K1249" s="17"/>
      <x:c r="L1249" s="17"/>
      <x:c r="M1249" s="17"/>
      <x:c r="N1249" s="22"/>
      <x:c r="O1249" s="17"/>
    </x:row>
    <x:row r="1250">
      <x:c r="A1250" s="17"/>
      <x:c r="B1250" s="20"/>
      <x:c r="C1250" s="21"/>
      <x:c r="D1250" s="17"/>
      <x:c r="E1250" s="17"/>
      <x:c r="F1250" s="17"/>
      <x:c r="G1250" s="17"/>
      <x:c r="H1250" s="17"/>
      <x:c r="I1250" s="17"/>
      <x:c r="J1250" s="17"/>
      <x:c r="K1250" s="17"/>
      <x:c r="L1250" s="17"/>
      <x:c r="M1250" s="17"/>
      <x:c r="N1250" s="22"/>
      <x:c r="O1250" s="17"/>
    </x:row>
    <x:row r="1251">
      <x:c r="A1251" s="17"/>
      <x:c r="B1251" s="20"/>
      <x:c r="C1251" s="21"/>
      <x:c r="D1251" s="17"/>
      <x:c r="E1251" s="17"/>
      <x:c r="F1251" s="17"/>
      <x:c r="G1251" s="17"/>
      <x:c r="H1251" s="17"/>
      <x:c r="I1251" s="17"/>
      <x:c r="J1251" s="17"/>
      <x:c r="K1251" s="17"/>
      <x:c r="L1251" s="17"/>
      <x:c r="M1251" s="17"/>
      <x:c r="N1251" s="22"/>
      <x:c r="O1251" s="17"/>
    </x:row>
    <x:row r="1252">
      <x:c r="A1252" s="17"/>
      <x:c r="B1252" s="20"/>
      <x:c r="C1252" s="21"/>
      <x:c r="D1252" s="17"/>
      <x:c r="E1252" s="17"/>
      <x:c r="F1252" s="17"/>
      <x:c r="G1252" s="17"/>
      <x:c r="H1252" s="17"/>
      <x:c r="I1252" s="17"/>
      <x:c r="J1252" s="17"/>
      <x:c r="K1252" s="17"/>
      <x:c r="L1252" s="17"/>
      <x:c r="M1252" s="17"/>
      <x:c r="N1252" s="22"/>
      <x:c r="O1252" s="17"/>
    </x:row>
    <x:row r="1253">
      <x:c r="A1253" s="17"/>
      <x:c r="B1253" s="20"/>
      <x:c r="C1253" s="21"/>
      <x:c r="D1253" s="17"/>
      <x:c r="E1253" s="17"/>
      <x:c r="F1253" s="17"/>
      <x:c r="G1253" s="17"/>
      <x:c r="H1253" s="17"/>
      <x:c r="I1253" s="17"/>
      <x:c r="J1253" s="17"/>
      <x:c r="K1253" s="17"/>
      <x:c r="L1253" s="17"/>
      <x:c r="M1253" s="17"/>
      <x:c r="N1253" s="22"/>
      <x:c r="O1253" s="17"/>
    </x:row>
    <x:row r="1254">
      <x:c r="A1254" s="17"/>
      <x:c r="B1254" s="20"/>
      <x:c r="C1254" s="21"/>
      <x:c r="D1254" s="17"/>
      <x:c r="E1254" s="17"/>
      <x:c r="F1254" s="17"/>
      <x:c r="G1254" s="17"/>
      <x:c r="H1254" s="17"/>
      <x:c r="I1254" s="17"/>
      <x:c r="J1254" s="17"/>
      <x:c r="K1254" s="17"/>
      <x:c r="L1254" s="17"/>
      <x:c r="M1254" s="17"/>
      <x:c r="N1254" s="22"/>
      <x:c r="O1254" s="17"/>
    </x:row>
    <x:row r="1255">
      <x:c r="A1255" s="17"/>
      <x:c r="B1255" s="20"/>
      <x:c r="C1255" s="21"/>
      <x:c r="D1255" s="17"/>
      <x:c r="E1255" s="17"/>
      <x:c r="F1255" s="17"/>
      <x:c r="G1255" s="17"/>
      <x:c r="H1255" s="17"/>
      <x:c r="I1255" s="17"/>
      <x:c r="J1255" s="17"/>
      <x:c r="K1255" s="17"/>
      <x:c r="L1255" s="17"/>
      <x:c r="M1255" s="17"/>
      <x:c r="N1255" s="22"/>
      <x:c r="O1255" s="17"/>
    </x:row>
    <x:row r="1256">
      <x:c r="A1256" s="17"/>
      <x:c r="B1256" s="20"/>
      <x:c r="C1256" s="21"/>
      <x:c r="D1256" s="17"/>
      <x:c r="E1256" s="17"/>
      <x:c r="F1256" s="17"/>
      <x:c r="G1256" s="17"/>
      <x:c r="H1256" s="17"/>
      <x:c r="I1256" s="17"/>
      <x:c r="J1256" s="17"/>
      <x:c r="K1256" s="17"/>
      <x:c r="L1256" s="17"/>
      <x:c r="M1256" s="17"/>
      <x:c r="N1256" s="22"/>
      <x:c r="O1256" s="17"/>
    </x:row>
    <x:row r="1257">
      <x:c r="A1257" s="17"/>
      <x:c r="B1257" s="20"/>
      <x:c r="C1257" s="21"/>
      <x:c r="D1257" s="17"/>
      <x:c r="E1257" s="17"/>
      <x:c r="F1257" s="17"/>
      <x:c r="G1257" s="17"/>
      <x:c r="H1257" s="17"/>
      <x:c r="I1257" s="17"/>
      <x:c r="J1257" s="17"/>
      <x:c r="K1257" s="17"/>
      <x:c r="L1257" s="17"/>
      <x:c r="M1257" s="17"/>
      <x:c r="N1257" s="22"/>
      <x:c r="O1257" s="17"/>
    </x:row>
    <x:row r="1258">
      <x:c r="A1258" s="17"/>
      <x:c r="B1258" s="20"/>
      <x:c r="C1258" s="21"/>
      <x:c r="D1258" s="17"/>
      <x:c r="E1258" s="17"/>
      <x:c r="F1258" s="17"/>
      <x:c r="G1258" s="17"/>
      <x:c r="H1258" s="17"/>
      <x:c r="I1258" s="17"/>
      <x:c r="J1258" s="17"/>
      <x:c r="K1258" s="17"/>
      <x:c r="L1258" s="17"/>
      <x:c r="M1258" s="17"/>
      <x:c r="N1258" s="22"/>
      <x:c r="O1258" s="17"/>
    </x:row>
    <x:row r="1259">
      <x:c r="A1259" s="17"/>
      <x:c r="B1259" s="20"/>
      <x:c r="C1259" s="21"/>
      <x:c r="D1259" s="17"/>
      <x:c r="E1259" s="17"/>
      <x:c r="F1259" s="17"/>
      <x:c r="G1259" s="17"/>
      <x:c r="H1259" s="17"/>
      <x:c r="I1259" s="17"/>
      <x:c r="J1259" s="17"/>
      <x:c r="K1259" s="17"/>
      <x:c r="L1259" s="17"/>
      <x:c r="M1259" s="17"/>
      <x:c r="N1259" s="22"/>
      <x:c r="O1259" s="17"/>
    </x:row>
    <x:row r="1260">
      <x:c r="A1260" s="17"/>
      <x:c r="B1260" s="20"/>
      <x:c r="C1260" s="21"/>
      <x:c r="D1260" s="17"/>
      <x:c r="E1260" s="17"/>
      <x:c r="F1260" s="17"/>
      <x:c r="G1260" s="17"/>
      <x:c r="H1260" s="17"/>
      <x:c r="I1260" s="17"/>
      <x:c r="J1260" s="17"/>
      <x:c r="K1260" s="17"/>
      <x:c r="L1260" s="17"/>
      <x:c r="M1260" s="17"/>
      <x:c r="N1260" s="22"/>
      <x:c r="O1260" s="17"/>
    </x:row>
    <x:row r="1261">
      <x:c r="A1261" s="17"/>
      <x:c r="B1261" s="20"/>
      <x:c r="C1261" s="21"/>
      <x:c r="D1261" s="17"/>
      <x:c r="E1261" s="17"/>
      <x:c r="F1261" s="17"/>
      <x:c r="G1261" s="17"/>
      <x:c r="H1261" s="17"/>
      <x:c r="I1261" s="17"/>
      <x:c r="J1261" s="17"/>
      <x:c r="K1261" s="17"/>
      <x:c r="L1261" s="17"/>
      <x:c r="M1261" s="17"/>
      <x:c r="N1261" s="22"/>
      <x:c r="O1261" s="17"/>
    </x:row>
    <x:row r="1262">
      <x:c r="A1262" s="17"/>
      <x:c r="B1262" s="20"/>
      <x:c r="C1262" s="21"/>
      <x:c r="D1262" s="17"/>
      <x:c r="E1262" s="17"/>
      <x:c r="F1262" s="17"/>
      <x:c r="G1262" s="17"/>
      <x:c r="H1262" s="17"/>
      <x:c r="I1262" s="17"/>
      <x:c r="J1262" s="17"/>
      <x:c r="K1262" s="17"/>
      <x:c r="L1262" s="17"/>
      <x:c r="M1262" s="17"/>
      <x:c r="N1262" s="22"/>
      <x:c r="O1262" s="17"/>
    </x:row>
    <x:row r="1263">
      <x:c r="A1263" s="17"/>
      <x:c r="B1263" s="20"/>
      <x:c r="C1263" s="21"/>
      <x:c r="D1263" s="17"/>
      <x:c r="E1263" s="17"/>
      <x:c r="F1263" s="17"/>
      <x:c r="G1263" s="17"/>
      <x:c r="H1263" s="17"/>
      <x:c r="I1263" s="17"/>
      <x:c r="J1263" s="17"/>
      <x:c r="K1263" s="17"/>
      <x:c r="L1263" s="17"/>
      <x:c r="M1263" s="17"/>
      <x:c r="N1263" s="22"/>
      <x:c r="O1263" s="17"/>
    </x:row>
    <x:row r="1264">
      <x:c r="A1264" s="17"/>
      <x:c r="B1264" s="20"/>
      <x:c r="C1264" s="21"/>
      <x:c r="D1264" s="17"/>
      <x:c r="E1264" s="17"/>
      <x:c r="F1264" s="17"/>
      <x:c r="G1264" s="17"/>
      <x:c r="H1264" s="17"/>
      <x:c r="I1264" s="17"/>
      <x:c r="J1264" s="17"/>
      <x:c r="K1264" s="17"/>
      <x:c r="L1264" s="17"/>
      <x:c r="M1264" s="17"/>
      <x:c r="N1264" s="22"/>
      <x:c r="O1264" s="17"/>
    </x:row>
    <x:row r="1265">
      <x:c r="A1265" s="17"/>
      <x:c r="B1265" s="20"/>
      <x:c r="C1265" s="21"/>
      <x:c r="D1265" s="17"/>
      <x:c r="E1265" s="17"/>
      <x:c r="F1265" s="17"/>
      <x:c r="G1265" s="17"/>
      <x:c r="H1265" s="17"/>
      <x:c r="I1265" s="17"/>
      <x:c r="J1265" s="17"/>
      <x:c r="K1265" s="17"/>
      <x:c r="L1265" s="17"/>
      <x:c r="M1265" s="17"/>
      <x:c r="N1265" s="22"/>
      <x:c r="O1265" s="17"/>
    </x:row>
    <x:row r="1266">
      <x:c r="A1266" s="17"/>
      <x:c r="B1266" s="20"/>
      <x:c r="C1266" s="21"/>
      <x:c r="D1266" s="17"/>
      <x:c r="E1266" s="17"/>
      <x:c r="F1266" s="17"/>
      <x:c r="G1266" s="17"/>
      <x:c r="H1266" s="17"/>
      <x:c r="I1266" s="17"/>
      <x:c r="J1266" s="17"/>
      <x:c r="K1266" s="17"/>
      <x:c r="L1266" s="17"/>
      <x:c r="M1266" s="17"/>
      <x:c r="N1266" s="22"/>
      <x:c r="O1266" s="17"/>
    </x:row>
    <x:row r="1267">
      <x:c r="A1267" s="17"/>
      <x:c r="B1267" s="20"/>
      <x:c r="C1267" s="21"/>
      <x:c r="D1267" s="17"/>
      <x:c r="E1267" s="17"/>
      <x:c r="F1267" s="17"/>
      <x:c r="G1267" s="17"/>
      <x:c r="H1267" s="17"/>
      <x:c r="I1267" s="17"/>
      <x:c r="J1267" s="17"/>
      <x:c r="K1267" s="17"/>
      <x:c r="L1267" s="17"/>
      <x:c r="M1267" s="17"/>
      <x:c r="N1267" s="22"/>
      <x:c r="O1267" s="17"/>
    </x:row>
    <x:row r="1268">
      <x:c r="A1268" s="17"/>
      <x:c r="B1268" s="20"/>
      <x:c r="C1268" s="21"/>
      <x:c r="D1268" s="17"/>
      <x:c r="E1268" s="17"/>
      <x:c r="F1268" s="17"/>
      <x:c r="G1268" s="17"/>
      <x:c r="H1268" s="17"/>
      <x:c r="I1268" s="17"/>
      <x:c r="J1268" s="17"/>
      <x:c r="K1268" s="17"/>
      <x:c r="L1268" s="17"/>
      <x:c r="M1268" s="17"/>
      <x:c r="N1268" s="22"/>
      <x:c r="O1268" s="17"/>
    </x:row>
    <x:row r="1269">
      <x:c r="A1269" s="17"/>
      <x:c r="B1269" s="20"/>
      <x:c r="C1269" s="21"/>
      <x:c r="D1269" s="17"/>
      <x:c r="E1269" s="17"/>
      <x:c r="F1269" s="17"/>
      <x:c r="G1269" s="17"/>
      <x:c r="H1269" s="17"/>
      <x:c r="I1269" s="17"/>
      <x:c r="J1269" s="17"/>
      <x:c r="K1269" s="17"/>
      <x:c r="L1269" s="17"/>
      <x:c r="M1269" s="17"/>
      <x:c r="N1269" s="22"/>
      <x:c r="O1269" s="17"/>
    </x:row>
    <x:row r="1270">
      <x:c r="A1270" s="17"/>
      <x:c r="B1270" s="20"/>
      <x:c r="C1270" s="21"/>
      <x:c r="D1270" s="17"/>
      <x:c r="E1270" s="17"/>
      <x:c r="F1270" s="17"/>
      <x:c r="G1270" s="17"/>
      <x:c r="H1270" s="17"/>
      <x:c r="I1270" s="17"/>
      <x:c r="J1270" s="17"/>
      <x:c r="K1270" s="17"/>
      <x:c r="L1270" s="17"/>
      <x:c r="M1270" s="17"/>
      <x:c r="N1270" s="22"/>
      <x:c r="O1270" s="17"/>
    </x:row>
    <x:row r="1271">
      <x:c r="A1271" s="17"/>
      <x:c r="B1271" s="20"/>
      <x:c r="C1271" s="21"/>
      <x:c r="D1271" s="17"/>
      <x:c r="E1271" s="17"/>
      <x:c r="F1271" s="17"/>
      <x:c r="G1271" s="17"/>
      <x:c r="H1271" s="17"/>
      <x:c r="I1271" s="17"/>
      <x:c r="J1271" s="17"/>
      <x:c r="K1271" s="17"/>
      <x:c r="L1271" s="17"/>
      <x:c r="M1271" s="17"/>
      <x:c r="N1271" s="22"/>
      <x:c r="O1271" s="17"/>
    </x:row>
    <x:row r="1272">
      <x:c r="A1272" s="17"/>
      <x:c r="B1272" s="20"/>
      <x:c r="C1272" s="21"/>
      <x:c r="D1272" s="17"/>
      <x:c r="E1272" s="17"/>
      <x:c r="F1272" s="17"/>
      <x:c r="G1272" s="17"/>
      <x:c r="H1272" s="17"/>
      <x:c r="I1272" s="17"/>
      <x:c r="J1272" s="17"/>
      <x:c r="K1272" s="17"/>
      <x:c r="L1272" s="17"/>
      <x:c r="M1272" s="17"/>
      <x:c r="N1272" s="22"/>
      <x:c r="O1272" s="17"/>
    </x:row>
    <x:row r="1273">
      <x:c r="A1273" s="17"/>
      <x:c r="B1273" s="20"/>
      <x:c r="C1273" s="21"/>
      <x:c r="D1273" s="17"/>
      <x:c r="E1273" s="17"/>
      <x:c r="F1273" s="17"/>
      <x:c r="G1273" s="17"/>
      <x:c r="H1273" s="17"/>
      <x:c r="I1273" s="17"/>
      <x:c r="J1273" s="17"/>
      <x:c r="K1273" s="17"/>
      <x:c r="L1273" s="17"/>
      <x:c r="M1273" s="17"/>
      <x:c r="N1273" s="22"/>
      <x:c r="O1273" s="17"/>
    </x:row>
    <x:row r="1274">
      <x:c r="A1274" s="17"/>
      <x:c r="B1274" s="20"/>
      <x:c r="C1274" s="21"/>
      <x:c r="D1274" s="17"/>
      <x:c r="E1274" s="17"/>
      <x:c r="F1274" s="17"/>
      <x:c r="G1274" s="17"/>
      <x:c r="H1274" s="17"/>
      <x:c r="I1274" s="17"/>
      <x:c r="J1274" s="17"/>
      <x:c r="K1274" s="17"/>
      <x:c r="L1274" s="17"/>
      <x:c r="M1274" s="17"/>
      <x:c r="N1274" s="22"/>
      <x:c r="O1274" s="17"/>
    </x:row>
    <x:row r="1275">
      <x:c r="A1275" s="17"/>
      <x:c r="B1275" s="20"/>
      <x:c r="C1275" s="21"/>
      <x:c r="D1275" s="17"/>
      <x:c r="E1275" s="17"/>
      <x:c r="F1275" s="17"/>
      <x:c r="G1275" s="17"/>
      <x:c r="H1275" s="17"/>
      <x:c r="I1275" s="17"/>
      <x:c r="J1275" s="17"/>
      <x:c r="K1275" s="17"/>
      <x:c r="L1275" s="17"/>
      <x:c r="M1275" s="17"/>
      <x:c r="N1275" s="22"/>
      <x:c r="O1275" s="17"/>
    </x:row>
    <x:row r="1276">
      <x:c r="A1276" s="17"/>
      <x:c r="B1276" s="20"/>
      <x:c r="C1276" s="21"/>
      <x:c r="D1276" s="17"/>
      <x:c r="E1276" s="17"/>
      <x:c r="F1276" s="17"/>
      <x:c r="G1276" s="17"/>
      <x:c r="H1276" s="17"/>
      <x:c r="I1276" s="17"/>
      <x:c r="J1276" s="17"/>
      <x:c r="K1276" s="17"/>
      <x:c r="L1276" s="17"/>
      <x:c r="M1276" s="17"/>
      <x:c r="N1276" s="22"/>
      <x:c r="O1276" s="17"/>
    </x:row>
    <x:row r="1277">
      <x:c r="A1277" s="17"/>
      <x:c r="B1277" s="20"/>
      <x:c r="C1277" s="21"/>
      <x:c r="D1277" s="17"/>
      <x:c r="E1277" s="17"/>
      <x:c r="F1277" s="17"/>
      <x:c r="G1277" s="17"/>
      <x:c r="H1277" s="17"/>
      <x:c r="I1277" s="17"/>
      <x:c r="J1277" s="17"/>
      <x:c r="K1277" s="17"/>
      <x:c r="L1277" s="17"/>
      <x:c r="M1277" s="17"/>
      <x:c r="N1277" s="22"/>
      <x:c r="O1277" s="17"/>
    </x:row>
    <x:row r="1278">
      <x:c r="A1278" s="17"/>
      <x:c r="B1278" s="20"/>
      <x:c r="C1278" s="21"/>
      <x:c r="D1278" s="17"/>
      <x:c r="E1278" s="17"/>
      <x:c r="F1278" s="17"/>
      <x:c r="G1278" s="17"/>
      <x:c r="H1278" s="17"/>
      <x:c r="I1278" s="17"/>
      <x:c r="J1278" s="17"/>
      <x:c r="K1278" s="17"/>
      <x:c r="L1278" s="17"/>
      <x:c r="M1278" s="17"/>
      <x:c r="N1278" s="22"/>
      <x:c r="O1278" s="17"/>
    </x:row>
    <x:row r="1279">
      <x:c r="A1279" s="17"/>
      <x:c r="B1279" s="20"/>
      <x:c r="C1279" s="21"/>
      <x:c r="D1279" s="17"/>
      <x:c r="E1279" s="17"/>
      <x:c r="F1279" s="17"/>
      <x:c r="G1279" s="17"/>
      <x:c r="H1279" s="17"/>
      <x:c r="I1279" s="17"/>
      <x:c r="J1279" s="17"/>
      <x:c r="K1279" s="17"/>
      <x:c r="L1279" s="17"/>
      <x:c r="M1279" s="17"/>
      <x:c r="N1279" s="22"/>
      <x:c r="O1279" s="17"/>
    </x:row>
    <x:row r="1280">
      <x:c r="A1280" s="17"/>
      <x:c r="B1280" s="20"/>
      <x:c r="C1280" s="21"/>
      <x:c r="D1280" s="17"/>
      <x:c r="E1280" s="17"/>
      <x:c r="F1280" s="17"/>
      <x:c r="G1280" s="17"/>
      <x:c r="H1280" s="17"/>
      <x:c r="I1280" s="17"/>
      <x:c r="J1280" s="17"/>
      <x:c r="K1280" s="17"/>
      <x:c r="L1280" s="17"/>
      <x:c r="M1280" s="17"/>
      <x:c r="N1280" s="22"/>
      <x:c r="O1280" s="17"/>
    </x:row>
    <x:row r="1281">
      <x:c r="A1281" s="17"/>
      <x:c r="B1281" s="20"/>
      <x:c r="C1281" s="21"/>
      <x:c r="D1281" s="17"/>
      <x:c r="E1281" s="17"/>
      <x:c r="F1281" s="17"/>
      <x:c r="G1281" s="17"/>
      <x:c r="H1281" s="17"/>
      <x:c r="I1281" s="17"/>
      <x:c r="J1281" s="17"/>
      <x:c r="K1281" s="17"/>
      <x:c r="L1281" s="17"/>
      <x:c r="M1281" s="17"/>
      <x:c r="N1281" s="22"/>
      <x:c r="O1281" s="17"/>
    </x:row>
    <x:row r="1282">
      <x:c r="A1282" s="17"/>
      <x:c r="B1282" s="20"/>
      <x:c r="C1282" s="21"/>
      <x:c r="D1282" s="17"/>
      <x:c r="E1282" s="17"/>
      <x:c r="F1282" s="17"/>
      <x:c r="G1282" s="17"/>
      <x:c r="H1282" s="17"/>
      <x:c r="I1282" s="17"/>
      <x:c r="J1282" s="17"/>
      <x:c r="K1282" s="17"/>
      <x:c r="L1282" s="17"/>
      <x:c r="M1282" s="17"/>
      <x:c r="N1282" s="22"/>
      <x:c r="O1282" s="17"/>
    </x:row>
    <x:row r="1283">
      <x:c r="A1283" s="17"/>
      <x:c r="B1283" s="20"/>
      <x:c r="C1283" s="21"/>
      <x:c r="D1283" s="17"/>
      <x:c r="E1283" s="17"/>
      <x:c r="F1283" s="17"/>
      <x:c r="G1283" s="17"/>
      <x:c r="H1283" s="17"/>
      <x:c r="I1283" s="17"/>
      <x:c r="J1283" s="17"/>
      <x:c r="K1283" s="17"/>
      <x:c r="L1283" s="17"/>
      <x:c r="M1283" s="17"/>
      <x:c r="N1283" s="22"/>
      <x:c r="O1283" s="17"/>
    </x:row>
    <x:row r="1284">
      <x:c r="A1284" s="17"/>
      <x:c r="B1284" s="20"/>
      <x:c r="C1284" s="21"/>
      <x:c r="D1284" s="17"/>
      <x:c r="E1284" s="17"/>
      <x:c r="F1284" s="17"/>
      <x:c r="G1284" s="17"/>
      <x:c r="H1284" s="17"/>
      <x:c r="I1284" s="17"/>
      <x:c r="J1284" s="17"/>
      <x:c r="K1284" s="17"/>
      <x:c r="L1284" s="17"/>
      <x:c r="M1284" s="17"/>
      <x:c r="N1284" s="22"/>
      <x:c r="O1284" s="17"/>
    </x:row>
    <x:row r="1285">
      <x:c r="A1285" s="17"/>
      <x:c r="B1285" s="20"/>
      <x:c r="C1285" s="21"/>
      <x:c r="D1285" s="17"/>
      <x:c r="E1285" s="17"/>
      <x:c r="F1285" s="17"/>
      <x:c r="G1285" s="17"/>
      <x:c r="H1285" s="17"/>
      <x:c r="I1285" s="17"/>
      <x:c r="J1285" s="17"/>
      <x:c r="K1285" s="17"/>
      <x:c r="L1285" s="17"/>
      <x:c r="M1285" s="17"/>
      <x:c r="N1285" s="22"/>
      <x:c r="O1285" s="17"/>
    </x:row>
    <x:row r="1286">
      <x:c r="A1286" s="17"/>
      <x:c r="B1286" s="20"/>
      <x:c r="C1286" s="21"/>
      <x:c r="D1286" s="17"/>
      <x:c r="E1286" s="17"/>
      <x:c r="F1286" s="17"/>
      <x:c r="G1286" s="17"/>
      <x:c r="H1286" s="17"/>
      <x:c r="I1286" s="17"/>
      <x:c r="J1286" s="17"/>
      <x:c r="K1286" s="17"/>
      <x:c r="L1286" s="17"/>
      <x:c r="M1286" s="17"/>
      <x:c r="N1286" s="22"/>
      <x:c r="O1286" s="17"/>
    </x:row>
    <x:row r="1287">
      <x:c r="A1287" s="17"/>
      <x:c r="B1287" s="20"/>
      <x:c r="C1287" s="21"/>
      <x:c r="D1287" s="17"/>
      <x:c r="E1287" s="17"/>
      <x:c r="F1287" s="17"/>
      <x:c r="G1287" s="17"/>
      <x:c r="H1287" s="17"/>
      <x:c r="I1287" s="17"/>
      <x:c r="J1287" s="17"/>
      <x:c r="K1287" s="17"/>
      <x:c r="L1287" s="17"/>
      <x:c r="M1287" s="17"/>
      <x:c r="N1287" s="22"/>
      <x:c r="O1287" s="17"/>
    </x:row>
    <x:row r="1288">
      <x:c r="A1288" s="17"/>
      <x:c r="B1288" s="20"/>
      <x:c r="C1288" s="21"/>
      <x:c r="D1288" s="17"/>
      <x:c r="E1288" s="17"/>
      <x:c r="F1288" s="17"/>
      <x:c r="G1288" s="17"/>
      <x:c r="H1288" s="17"/>
      <x:c r="I1288" s="17"/>
      <x:c r="J1288" s="17"/>
      <x:c r="K1288" s="17"/>
      <x:c r="L1288" s="17"/>
      <x:c r="M1288" s="17"/>
      <x:c r="N1288" s="22"/>
      <x:c r="O1288" s="17"/>
    </x:row>
    <x:row r="1289">
      <x:c r="A1289" s="17"/>
      <x:c r="B1289" s="20"/>
      <x:c r="C1289" s="21"/>
      <x:c r="D1289" s="17"/>
      <x:c r="E1289" s="17"/>
      <x:c r="F1289" s="17"/>
      <x:c r="G1289" s="17"/>
      <x:c r="H1289" s="17"/>
      <x:c r="I1289" s="17"/>
      <x:c r="J1289" s="17"/>
      <x:c r="K1289" s="17"/>
      <x:c r="L1289" s="17"/>
      <x:c r="M1289" s="17"/>
      <x:c r="N1289" s="22"/>
      <x:c r="O1289" s="17"/>
    </x:row>
    <x:row r="1290">
      <x:c r="A1290" s="17"/>
      <x:c r="B1290" s="20"/>
      <x:c r="C1290" s="21"/>
      <x:c r="D1290" s="17"/>
      <x:c r="E1290" s="17"/>
      <x:c r="F1290" s="17"/>
      <x:c r="G1290" s="17"/>
      <x:c r="H1290" s="17"/>
      <x:c r="I1290" s="17"/>
      <x:c r="J1290" s="17"/>
      <x:c r="K1290" s="17"/>
      <x:c r="L1290" s="17"/>
      <x:c r="M1290" s="17"/>
      <x:c r="N1290" s="22"/>
      <x:c r="O1290" s="17"/>
    </x:row>
    <x:row r="1291">
      <x:c r="A1291" s="17"/>
      <x:c r="B1291" s="20"/>
      <x:c r="C1291" s="21"/>
      <x:c r="D1291" s="17"/>
      <x:c r="E1291" s="17"/>
      <x:c r="F1291" s="17"/>
      <x:c r="G1291" s="17"/>
      <x:c r="H1291" s="17"/>
      <x:c r="I1291" s="17"/>
      <x:c r="J1291" s="17"/>
      <x:c r="K1291" s="17"/>
      <x:c r="L1291" s="17"/>
      <x:c r="M1291" s="17"/>
      <x:c r="N1291" s="22"/>
      <x:c r="O1291" s="17"/>
    </x:row>
    <x:row r="1292">
      <x:c r="A1292" s="17"/>
      <x:c r="B1292" s="20"/>
      <x:c r="C1292" s="21"/>
      <x:c r="D1292" s="17"/>
      <x:c r="E1292" s="17"/>
      <x:c r="F1292" s="17"/>
      <x:c r="G1292" s="17"/>
      <x:c r="H1292" s="17"/>
      <x:c r="I1292" s="17"/>
      <x:c r="J1292" s="17"/>
      <x:c r="K1292" s="17"/>
      <x:c r="L1292" s="17"/>
      <x:c r="M1292" s="17"/>
      <x:c r="N1292" s="22"/>
      <x:c r="O1292" s="17"/>
    </x:row>
    <x:row r="1293">
      <x:c r="A1293" s="17"/>
      <x:c r="B1293" s="20"/>
      <x:c r="C1293" s="21"/>
      <x:c r="D1293" s="17"/>
      <x:c r="E1293" s="17"/>
      <x:c r="F1293" s="17"/>
      <x:c r="G1293" s="17"/>
      <x:c r="H1293" s="17"/>
      <x:c r="I1293" s="17"/>
      <x:c r="J1293" s="17"/>
      <x:c r="K1293" s="17"/>
      <x:c r="L1293" s="17"/>
      <x:c r="M1293" s="17"/>
      <x:c r="N1293" s="22"/>
      <x:c r="O1293" s="17"/>
    </x:row>
    <x:row r="1294">
      <x:c r="A1294" s="17"/>
      <x:c r="B1294" s="20"/>
      <x:c r="C1294" s="21"/>
      <x:c r="D1294" s="17"/>
      <x:c r="E1294" s="17"/>
      <x:c r="F1294" s="17"/>
      <x:c r="G1294" s="17"/>
      <x:c r="H1294" s="17"/>
      <x:c r="I1294" s="17"/>
      <x:c r="J1294" s="17"/>
      <x:c r="K1294" s="17"/>
      <x:c r="L1294" s="17"/>
      <x:c r="M1294" s="17"/>
      <x:c r="N1294" s="22"/>
      <x:c r="O1294" s="17"/>
    </x:row>
    <x:row r="1295">
      <x:c r="A1295" s="17"/>
      <x:c r="B1295" s="20"/>
      <x:c r="C1295" s="21"/>
      <x:c r="D1295" s="17"/>
      <x:c r="E1295" s="17"/>
      <x:c r="F1295" s="17"/>
      <x:c r="G1295" s="17"/>
      <x:c r="H1295" s="17"/>
      <x:c r="I1295" s="17"/>
      <x:c r="J1295" s="17"/>
      <x:c r="K1295" s="17"/>
      <x:c r="L1295" s="17"/>
      <x:c r="M1295" s="17"/>
      <x:c r="N1295" s="22"/>
      <x:c r="O1295" s="17"/>
    </x:row>
    <x:row r="1296">
      <x:c r="A1296" s="17"/>
      <x:c r="B1296" s="20"/>
      <x:c r="C1296" s="21"/>
      <x:c r="D1296" s="17"/>
      <x:c r="E1296" s="17"/>
      <x:c r="F1296" s="17"/>
      <x:c r="G1296" s="17"/>
      <x:c r="H1296" s="17"/>
      <x:c r="I1296" s="17"/>
      <x:c r="J1296" s="17"/>
      <x:c r="K1296" s="17"/>
      <x:c r="L1296" s="17"/>
      <x:c r="M1296" s="17"/>
      <x:c r="N1296" s="22"/>
      <x:c r="O1296" s="17"/>
    </x:row>
    <x:row r="1297">
      <x:c r="A1297" s="17"/>
      <x:c r="B1297" s="20"/>
      <x:c r="C1297" s="21"/>
      <x:c r="D1297" s="17"/>
      <x:c r="E1297" s="17"/>
      <x:c r="F1297" s="17"/>
      <x:c r="G1297" s="17"/>
      <x:c r="H1297" s="17"/>
      <x:c r="I1297" s="17"/>
      <x:c r="J1297" s="17"/>
      <x:c r="K1297" s="17"/>
      <x:c r="L1297" s="17"/>
      <x:c r="M1297" s="17"/>
      <x:c r="N1297" s="22"/>
      <x:c r="O1297" s="17"/>
    </x:row>
    <x:row r="1298">
      <x:c r="A1298" s="17"/>
      <x:c r="B1298" s="20"/>
      <x:c r="C1298" s="21"/>
      <x:c r="D1298" s="17"/>
      <x:c r="E1298" s="17"/>
      <x:c r="F1298" s="17"/>
      <x:c r="G1298" s="17"/>
      <x:c r="H1298" s="17"/>
      <x:c r="I1298" s="17"/>
      <x:c r="J1298" s="17"/>
      <x:c r="K1298" s="17"/>
      <x:c r="L1298" s="17"/>
      <x:c r="M1298" s="17"/>
      <x:c r="N1298" s="22"/>
      <x:c r="O1298" s="17"/>
    </x:row>
    <x:row r="1299">
      <x:c r="A1299" s="17"/>
      <x:c r="B1299" s="20"/>
      <x:c r="C1299" s="21"/>
      <x:c r="D1299" s="17"/>
      <x:c r="E1299" s="17"/>
      <x:c r="F1299" s="17"/>
      <x:c r="G1299" s="17"/>
      <x:c r="H1299" s="17"/>
      <x:c r="I1299" s="17"/>
      <x:c r="J1299" s="17"/>
      <x:c r="K1299" s="17"/>
      <x:c r="L1299" s="17"/>
      <x:c r="M1299" s="17"/>
      <x:c r="N1299" s="22"/>
      <x:c r="O1299" s="17"/>
    </x:row>
    <x:row r="1300">
      <x:c r="A1300" s="17"/>
      <x:c r="B1300" s="20"/>
      <x:c r="C1300" s="21"/>
      <x:c r="D1300" s="17"/>
      <x:c r="E1300" s="17"/>
      <x:c r="F1300" s="17"/>
      <x:c r="G1300" s="17"/>
      <x:c r="H1300" s="17"/>
      <x:c r="I1300" s="17"/>
      <x:c r="J1300" s="17"/>
      <x:c r="K1300" s="17"/>
      <x:c r="L1300" s="17"/>
      <x:c r="M1300" s="17"/>
      <x:c r="N1300" s="22"/>
      <x:c r="O1300" s="17"/>
    </x:row>
    <x:row r="1301">
      <x:c r="A1301" s="17"/>
      <x:c r="B1301" s="20"/>
      <x:c r="C1301" s="21"/>
      <x:c r="D1301" s="17"/>
      <x:c r="E1301" s="17"/>
      <x:c r="F1301" s="17"/>
      <x:c r="G1301" s="17"/>
      <x:c r="H1301" s="17"/>
      <x:c r="I1301" s="17"/>
      <x:c r="J1301" s="17"/>
      <x:c r="K1301" s="17"/>
      <x:c r="L1301" s="17"/>
      <x:c r="M1301" s="17"/>
      <x:c r="N1301" s="22"/>
      <x:c r="O1301" s="17"/>
    </x:row>
    <x:row r="1302">
      <x:c r="A1302" s="17"/>
      <x:c r="B1302" s="20"/>
      <x:c r="C1302" s="21"/>
      <x:c r="D1302" s="17"/>
      <x:c r="E1302" s="17"/>
      <x:c r="F1302" s="17"/>
      <x:c r="G1302" s="17"/>
      <x:c r="H1302" s="17"/>
      <x:c r="I1302" s="17"/>
      <x:c r="J1302" s="17"/>
      <x:c r="K1302" s="17"/>
      <x:c r="L1302" s="17"/>
      <x:c r="M1302" s="17"/>
      <x:c r="N1302" s="22"/>
      <x:c r="O1302" s="17"/>
    </x:row>
    <x:row r="1303">
      <x:c r="A1303" s="17"/>
      <x:c r="B1303" s="20"/>
      <x:c r="C1303" s="21"/>
      <x:c r="D1303" s="17"/>
      <x:c r="E1303" s="17"/>
      <x:c r="F1303" s="17"/>
      <x:c r="G1303" s="17"/>
      <x:c r="H1303" s="17"/>
      <x:c r="I1303" s="17"/>
      <x:c r="J1303" s="17"/>
      <x:c r="K1303" s="17"/>
      <x:c r="L1303" s="17"/>
      <x:c r="M1303" s="17"/>
      <x:c r="N1303" s="22"/>
      <x:c r="O1303" s="17"/>
    </x:row>
    <x:row r="1304">
      <x:c r="A1304" s="17"/>
      <x:c r="B1304" s="20"/>
      <x:c r="C1304" s="21"/>
      <x:c r="D1304" s="17"/>
      <x:c r="E1304" s="17"/>
      <x:c r="F1304" s="17"/>
      <x:c r="G1304" s="17"/>
      <x:c r="H1304" s="17"/>
      <x:c r="I1304" s="17"/>
      <x:c r="J1304" s="17"/>
      <x:c r="K1304" s="17"/>
      <x:c r="L1304" s="17"/>
      <x:c r="M1304" s="17"/>
      <x:c r="N1304" s="22"/>
      <x:c r="O1304" s="17"/>
    </x:row>
    <x:row r="1305">
      <x:c r="A1305" s="17"/>
      <x:c r="B1305" s="20"/>
      <x:c r="C1305" s="21"/>
      <x:c r="D1305" s="17"/>
      <x:c r="E1305" s="17"/>
      <x:c r="F1305" s="17"/>
      <x:c r="G1305" s="17"/>
      <x:c r="H1305" s="17"/>
      <x:c r="I1305" s="17"/>
      <x:c r="J1305" s="17"/>
      <x:c r="K1305" s="17"/>
      <x:c r="L1305" s="17"/>
      <x:c r="M1305" s="17"/>
      <x:c r="N1305" s="22"/>
      <x:c r="O1305" s="17"/>
    </x:row>
    <x:row r="1306">
      <x:c r="A1306" s="17"/>
      <x:c r="B1306" s="20"/>
      <x:c r="C1306" s="21"/>
      <x:c r="D1306" s="17"/>
      <x:c r="E1306" s="17"/>
      <x:c r="F1306" s="17"/>
      <x:c r="G1306" s="17"/>
      <x:c r="H1306" s="17"/>
      <x:c r="I1306" s="17"/>
      <x:c r="J1306" s="17"/>
      <x:c r="K1306" s="17"/>
      <x:c r="L1306" s="17"/>
      <x:c r="M1306" s="17"/>
      <x:c r="N1306" s="22"/>
      <x:c r="O1306" s="17"/>
    </x:row>
    <x:row r="1307">
      <x:c r="A1307" s="17"/>
      <x:c r="B1307" s="20"/>
      <x:c r="C1307" s="21"/>
      <x:c r="D1307" s="17"/>
      <x:c r="E1307" s="17"/>
      <x:c r="F1307" s="17"/>
      <x:c r="G1307" s="17"/>
      <x:c r="H1307" s="17"/>
      <x:c r="I1307" s="17"/>
      <x:c r="J1307" s="17"/>
      <x:c r="K1307" s="17"/>
      <x:c r="L1307" s="17"/>
      <x:c r="M1307" s="17"/>
      <x:c r="N1307" s="22"/>
      <x:c r="O1307" s="17"/>
    </x:row>
    <x:row r="1308">
      <x:c r="A1308" s="17"/>
      <x:c r="B1308" s="20"/>
      <x:c r="C1308" s="21"/>
      <x:c r="D1308" s="17"/>
      <x:c r="E1308" s="17"/>
      <x:c r="F1308" s="17"/>
      <x:c r="G1308" s="17"/>
      <x:c r="H1308" s="17"/>
      <x:c r="I1308" s="17"/>
      <x:c r="J1308" s="17"/>
      <x:c r="K1308" s="17"/>
      <x:c r="L1308" s="17"/>
      <x:c r="M1308" s="17"/>
      <x:c r="N1308" s="22"/>
      <x:c r="O1308" s="17"/>
    </x:row>
    <x:row r="1309">
      <x:c r="A1309" s="17"/>
      <x:c r="B1309" s="20"/>
      <x:c r="C1309" s="21"/>
      <x:c r="D1309" s="17"/>
      <x:c r="E1309" s="17"/>
      <x:c r="F1309" s="17"/>
      <x:c r="G1309" s="17"/>
      <x:c r="H1309" s="17"/>
      <x:c r="I1309" s="17"/>
      <x:c r="J1309" s="17"/>
      <x:c r="K1309" s="17"/>
      <x:c r="L1309" s="17"/>
      <x:c r="M1309" s="17"/>
      <x:c r="N1309" s="22"/>
      <x:c r="O1309" s="17"/>
    </x:row>
    <x:row r="1310">
      <x:c r="A1310" s="17"/>
      <x:c r="B1310" s="20"/>
      <x:c r="C1310" s="21"/>
      <x:c r="D1310" s="17"/>
      <x:c r="E1310" s="17"/>
      <x:c r="F1310" s="17"/>
      <x:c r="G1310" s="17"/>
      <x:c r="H1310" s="17"/>
      <x:c r="I1310" s="17"/>
      <x:c r="J1310" s="17"/>
      <x:c r="K1310" s="17"/>
      <x:c r="L1310" s="17"/>
      <x:c r="M1310" s="17"/>
      <x:c r="N1310" s="22"/>
      <x:c r="O1310" s="17"/>
    </x:row>
    <x:row r="1311">
      <x:c r="A1311" s="17"/>
      <x:c r="B1311" s="20"/>
      <x:c r="C1311" s="21"/>
      <x:c r="D1311" s="17"/>
      <x:c r="E1311" s="17"/>
      <x:c r="F1311" s="17"/>
      <x:c r="G1311" s="17"/>
      <x:c r="H1311" s="17"/>
      <x:c r="I1311" s="17"/>
      <x:c r="J1311" s="17"/>
      <x:c r="K1311" s="17"/>
      <x:c r="L1311" s="17"/>
      <x:c r="M1311" s="17"/>
      <x:c r="N1311" s="22"/>
      <x:c r="O1311" s="17"/>
    </x:row>
    <x:row r="1312">
      <x:c r="A1312" s="17"/>
      <x:c r="B1312" s="20"/>
      <x:c r="C1312" s="21"/>
      <x:c r="D1312" s="17"/>
      <x:c r="E1312" s="17"/>
      <x:c r="F1312" s="17"/>
      <x:c r="G1312" s="17"/>
      <x:c r="H1312" s="17"/>
      <x:c r="I1312" s="17"/>
      <x:c r="J1312" s="17"/>
      <x:c r="K1312" s="17"/>
      <x:c r="L1312" s="17"/>
      <x:c r="M1312" s="17"/>
      <x:c r="N1312" s="22"/>
      <x:c r="O1312" s="17"/>
    </x:row>
    <x:row r="1313">
      <x:c r="A1313" s="17"/>
      <x:c r="B1313" s="20"/>
      <x:c r="C1313" s="21"/>
      <x:c r="D1313" s="17"/>
      <x:c r="E1313" s="17"/>
      <x:c r="F1313" s="17"/>
      <x:c r="G1313" s="17"/>
      <x:c r="H1313" s="17"/>
      <x:c r="I1313" s="17"/>
      <x:c r="J1313" s="17"/>
      <x:c r="K1313" s="17"/>
      <x:c r="L1313" s="17"/>
      <x:c r="M1313" s="17"/>
      <x:c r="N1313" s="22"/>
      <x:c r="O1313" s="17"/>
    </x:row>
    <x:row r="1314">
      <x:c r="A1314" s="17"/>
      <x:c r="B1314" s="20"/>
      <x:c r="C1314" s="21"/>
      <x:c r="D1314" s="17"/>
      <x:c r="E1314" s="17"/>
      <x:c r="F1314" s="17"/>
      <x:c r="G1314" s="17"/>
      <x:c r="H1314" s="17"/>
      <x:c r="I1314" s="17"/>
      <x:c r="J1314" s="17"/>
      <x:c r="K1314" s="17"/>
      <x:c r="L1314" s="17"/>
      <x:c r="M1314" s="17"/>
      <x:c r="N1314" s="22"/>
      <x:c r="O1314" s="17"/>
    </x:row>
    <x:row r="1315">
      <x:c r="A1315" s="17"/>
      <x:c r="B1315" s="20"/>
      <x:c r="C1315" s="21"/>
      <x:c r="D1315" s="17"/>
      <x:c r="E1315" s="17"/>
      <x:c r="F1315" s="17"/>
      <x:c r="G1315" s="17"/>
      <x:c r="H1315" s="17"/>
      <x:c r="I1315" s="17"/>
      <x:c r="J1315" s="17"/>
      <x:c r="K1315" s="17"/>
      <x:c r="L1315" s="17"/>
      <x:c r="M1315" s="17"/>
      <x:c r="N1315" s="22"/>
      <x:c r="O1315" s="17"/>
    </x:row>
    <x:row r="1316">
      <x:c r="A1316" s="17"/>
      <x:c r="B1316" s="20"/>
      <x:c r="C1316" s="21"/>
      <x:c r="D1316" s="17"/>
      <x:c r="E1316" s="17"/>
      <x:c r="F1316" s="17"/>
      <x:c r="G1316" s="17"/>
      <x:c r="H1316" s="17"/>
      <x:c r="I1316" s="17"/>
      <x:c r="J1316" s="17"/>
      <x:c r="K1316" s="17"/>
      <x:c r="L1316" s="17"/>
      <x:c r="M1316" s="17"/>
      <x:c r="N1316" s="22"/>
      <x:c r="O1316" s="17"/>
    </x:row>
    <x:row r="1317">
      <x:c r="A1317" s="17"/>
      <x:c r="B1317" s="20"/>
      <x:c r="C1317" s="21"/>
      <x:c r="D1317" s="17"/>
      <x:c r="E1317" s="17"/>
      <x:c r="F1317" s="17"/>
      <x:c r="G1317" s="17"/>
      <x:c r="H1317" s="17"/>
      <x:c r="I1317" s="17"/>
      <x:c r="J1317" s="17"/>
      <x:c r="K1317" s="17"/>
      <x:c r="L1317" s="17"/>
      <x:c r="M1317" s="17"/>
      <x:c r="N1317" s="22"/>
      <x:c r="O1317" s="17"/>
    </x:row>
    <x:row r="1318">
      <x:c r="A1318" s="17"/>
      <x:c r="B1318" s="20"/>
      <x:c r="C1318" s="21"/>
      <x:c r="D1318" s="17"/>
      <x:c r="E1318" s="17"/>
      <x:c r="F1318" s="17"/>
      <x:c r="G1318" s="17"/>
      <x:c r="H1318" s="17"/>
      <x:c r="I1318" s="17"/>
      <x:c r="J1318" s="17"/>
      <x:c r="K1318" s="17"/>
      <x:c r="L1318" s="17"/>
      <x:c r="M1318" s="17"/>
      <x:c r="N1318" s="22"/>
      <x:c r="O1318" s="17"/>
    </x:row>
    <x:row r="1319">
      <x:c r="A1319" s="17"/>
      <x:c r="B1319" s="20"/>
      <x:c r="C1319" s="21"/>
      <x:c r="D1319" s="17"/>
      <x:c r="E1319" s="17"/>
      <x:c r="F1319" s="17"/>
      <x:c r="G1319" s="17"/>
      <x:c r="H1319" s="17"/>
      <x:c r="I1319" s="17"/>
      <x:c r="J1319" s="17"/>
      <x:c r="K1319" s="17"/>
      <x:c r="L1319" s="17"/>
      <x:c r="M1319" s="17"/>
      <x:c r="N1319" s="22"/>
      <x:c r="O1319" s="17"/>
    </x:row>
    <x:row r="1320">
      <x:c r="A1320" s="17"/>
      <x:c r="B1320" s="20"/>
      <x:c r="C1320" s="21"/>
      <x:c r="D1320" s="17"/>
      <x:c r="E1320" s="17"/>
      <x:c r="F1320" s="17"/>
      <x:c r="G1320" s="17"/>
      <x:c r="H1320" s="17"/>
      <x:c r="I1320" s="17"/>
      <x:c r="J1320" s="17"/>
      <x:c r="K1320" s="17"/>
      <x:c r="L1320" s="17"/>
      <x:c r="M1320" s="17"/>
      <x:c r="N1320" s="22"/>
      <x:c r="O1320" s="17"/>
    </x:row>
    <x:row r="1321">
      <x:c r="A1321" s="17"/>
      <x:c r="B1321" s="20"/>
      <x:c r="C1321" s="21"/>
      <x:c r="D1321" s="17"/>
      <x:c r="E1321" s="17"/>
      <x:c r="F1321" s="17"/>
      <x:c r="G1321" s="17"/>
      <x:c r="H1321" s="17"/>
      <x:c r="I1321" s="17"/>
      <x:c r="J1321" s="17"/>
      <x:c r="K1321" s="17"/>
      <x:c r="L1321" s="17"/>
      <x:c r="M1321" s="17"/>
      <x:c r="N1321" s="22"/>
      <x:c r="O1321" s="17"/>
    </x:row>
    <x:row r="1322">
      <x:c r="A1322" s="17"/>
      <x:c r="B1322" s="20"/>
      <x:c r="C1322" s="21"/>
      <x:c r="D1322" s="17"/>
      <x:c r="E1322" s="17"/>
      <x:c r="F1322" s="17"/>
      <x:c r="G1322" s="17"/>
      <x:c r="H1322" s="17"/>
      <x:c r="I1322" s="17"/>
      <x:c r="J1322" s="17"/>
      <x:c r="K1322" s="17"/>
      <x:c r="L1322" s="17"/>
      <x:c r="M1322" s="17"/>
      <x:c r="N1322" s="22"/>
      <x:c r="O1322" s="17"/>
    </x:row>
    <x:row r="1323">
      <x:c r="A1323" s="17"/>
      <x:c r="B1323" s="20"/>
      <x:c r="C1323" s="21"/>
      <x:c r="D1323" s="17"/>
      <x:c r="E1323" s="17"/>
      <x:c r="F1323" s="17"/>
      <x:c r="G1323" s="17"/>
      <x:c r="H1323" s="17"/>
      <x:c r="I1323" s="17"/>
      <x:c r="J1323" s="17"/>
      <x:c r="K1323" s="17"/>
      <x:c r="L1323" s="17"/>
      <x:c r="M1323" s="17"/>
      <x:c r="N1323" s="22"/>
      <x:c r="O1323" s="17"/>
    </x:row>
    <x:row r="1324">
      <x:c r="A1324" s="17"/>
      <x:c r="B1324" s="20"/>
      <x:c r="C1324" s="21"/>
      <x:c r="D1324" s="17"/>
      <x:c r="E1324" s="17"/>
      <x:c r="F1324" s="17"/>
      <x:c r="G1324" s="17"/>
      <x:c r="H1324" s="17"/>
      <x:c r="I1324" s="17"/>
      <x:c r="J1324" s="17"/>
      <x:c r="K1324" s="17"/>
      <x:c r="L1324" s="17"/>
      <x:c r="M1324" s="17"/>
      <x:c r="N1324" s="22"/>
      <x:c r="O1324" s="17"/>
    </x:row>
    <x:row r="1325">
      <x:c r="A1325" s="17"/>
      <x:c r="B1325" s="20"/>
      <x:c r="C1325" s="21"/>
      <x:c r="D1325" s="17"/>
      <x:c r="E1325" s="17"/>
      <x:c r="F1325" s="17"/>
      <x:c r="G1325" s="17"/>
      <x:c r="H1325" s="17"/>
      <x:c r="I1325" s="17"/>
      <x:c r="J1325" s="17"/>
      <x:c r="K1325" s="17"/>
      <x:c r="L1325" s="17"/>
      <x:c r="M1325" s="17"/>
      <x:c r="N1325" s="22"/>
      <x:c r="O1325" s="17"/>
    </x:row>
    <x:row r="1326">
      <x:c r="A1326" s="17"/>
      <x:c r="B1326" s="20"/>
      <x:c r="C1326" s="21"/>
      <x:c r="D1326" s="17"/>
      <x:c r="E1326" s="17"/>
      <x:c r="F1326" s="17"/>
      <x:c r="G1326" s="17"/>
      <x:c r="H1326" s="17"/>
      <x:c r="I1326" s="17"/>
      <x:c r="J1326" s="17"/>
      <x:c r="K1326" s="17"/>
      <x:c r="L1326" s="17"/>
      <x:c r="M1326" s="17"/>
      <x:c r="N1326" s="22"/>
      <x:c r="O1326" s="17"/>
    </x:row>
    <x:row r="1327">
      <x:c r="A1327" s="17"/>
      <x:c r="B1327" s="20"/>
      <x:c r="C1327" s="21"/>
      <x:c r="D1327" s="17"/>
      <x:c r="E1327" s="17"/>
      <x:c r="F1327" s="17"/>
      <x:c r="G1327" s="17"/>
      <x:c r="H1327" s="17"/>
      <x:c r="I1327" s="17"/>
      <x:c r="J1327" s="17"/>
      <x:c r="K1327" s="17"/>
      <x:c r="L1327" s="17"/>
      <x:c r="M1327" s="17"/>
      <x:c r="N1327" s="22"/>
      <x:c r="O1327" s="17"/>
    </x:row>
    <x:row r="1328">
      <x:c r="A1328" s="17"/>
      <x:c r="B1328" s="20"/>
      <x:c r="C1328" s="21"/>
      <x:c r="D1328" s="17"/>
      <x:c r="E1328" s="17"/>
      <x:c r="F1328" s="17"/>
      <x:c r="G1328" s="17"/>
      <x:c r="H1328" s="17"/>
      <x:c r="I1328" s="17"/>
      <x:c r="J1328" s="17"/>
      <x:c r="K1328" s="17"/>
      <x:c r="L1328" s="17"/>
      <x:c r="M1328" s="17"/>
      <x:c r="N1328" s="22"/>
      <x:c r="O1328" s="17"/>
    </x:row>
    <x:row r="1329">
      <x:c r="A1329" s="17"/>
      <x:c r="B1329" s="20"/>
      <x:c r="C1329" s="21"/>
      <x:c r="D1329" s="17"/>
      <x:c r="E1329" s="17"/>
      <x:c r="F1329" s="17"/>
      <x:c r="G1329" s="17"/>
      <x:c r="H1329" s="17"/>
      <x:c r="I1329" s="17"/>
      <x:c r="J1329" s="17"/>
      <x:c r="K1329" s="17"/>
      <x:c r="L1329" s="17"/>
      <x:c r="M1329" s="17"/>
      <x:c r="N1329" s="22"/>
      <x:c r="O1329" s="17"/>
    </x:row>
    <x:row r="1330">
      <x:c r="A1330" s="17"/>
      <x:c r="B1330" s="20"/>
      <x:c r="C1330" s="21"/>
      <x:c r="D1330" s="17"/>
      <x:c r="E1330" s="17"/>
      <x:c r="F1330" s="17"/>
      <x:c r="G1330" s="17"/>
      <x:c r="H1330" s="17"/>
      <x:c r="I1330" s="17"/>
      <x:c r="J1330" s="17"/>
      <x:c r="K1330" s="17"/>
      <x:c r="L1330" s="17"/>
      <x:c r="M1330" s="17"/>
      <x:c r="N1330" s="22"/>
      <x:c r="O1330" s="17"/>
    </x:row>
    <x:row r="1331">
      <x:c r="A1331" s="17"/>
      <x:c r="B1331" s="20"/>
      <x:c r="C1331" s="21"/>
      <x:c r="D1331" s="17"/>
      <x:c r="E1331" s="17"/>
      <x:c r="F1331" s="17"/>
      <x:c r="G1331" s="17"/>
      <x:c r="H1331" s="17"/>
      <x:c r="I1331" s="17"/>
      <x:c r="J1331" s="17"/>
      <x:c r="K1331" s="17"/>
      <x:c r="L1331" s="17"/>
      <x:c r="M1331" s="17"/>
      <x:c r="N1331" s="22"/>
      <x:c r="O1331" s="17"/>
    </x:row>
    <x:row r="1332">
      <x:c r="A1332" s="17"/>
      <x:c r="B1332" s="20"/>
      <x:c r="C1332" s="21"/>
      <x:c r="D1332" s="17"/>
      <x:c r="E1332" s="17"/>
      <x:c r="F1332" s="17"/>
      <x:c r="G1332" s="17"/>
      <x:c r="H1332" s="17"/>
      <x:c r="I1332" s="17"/>
      <x:c r="J1332" s="17"/>
      <x:c r="K1332" s="17"/>
      <x:c r="L1332" s="17"/>
      <x:c r="M1332" s="17"/>
      <x:c r="N1332" s="22"/>
      <x:c r="O1332" s="17"/>
    </x:row>
    <x:row r="1333">
      <x:c r="A1333" s="17"/>
      <x:c r="B1333" s="20"/>
      <x:c r="C1333" s="21"/>
      <x:c r="D1333" s="17"/>
      <x:c r="E1333" s="17"/>
      <x:c r="F1333" s="17"/>
      <x:c r="G1333" s="17"/>
      <x:c r="H1333" s="17"/>
      <x:c r="I1333" s="17"/>
      <x:c r="J1333" s="17"/>
      <x:c r="K1333" s="17"/>
      <x:c r="L1333" s="17"/>
      <x:c r="M1333" s="17"/>
      <x:c r="N1333" s="22"/>
      <x:c r="O1333" s="17"/>
    </x:row>
    <x:row r="1334">
      <x:c r="A1334" s="17"/>
      <x:c r="B1334" s="20"/>
      <x:c r="C1334" s="21"/>
      <x:c r="D1334" s="17"/>
      <x:c r="E1334" s="17"/>
      <x:c r="F1334" s="17"/>
      <x:c r="G1334" s="17"/>
      <x:c r="H1334" s="17"/>
      <x:c r="I1334" s="17"/>
      <x:c r="J1334" s="17"/>
      <x:c r="K1334" s="17"/>
      <x:c r="L1334" s="17"/>
      <x:c r="M1334" s="17"/>
      <x:c r="N1334" s="22"/>
      <x:c r="O1334" s="17"/>
    </x:row>
    <x:row r="1335">
      <x:c r="A1335" s="17"/>
      <x:c r="B1335" s="20"/>
      <x:c r="C1335" s="21"/>
      <x:c r="D1335" s="17"/>
      <x:c r="E1335" s="17"/>
      <x:c r="F1335" s="17"/>
      <x:c r="G1335" s="17"/>
      <x:c r="H1335" s="17"/>
      <x:c r="I1335" s="17"/>
      <x:c r="J1335" s="17"/>
      <x:c r="K1335" s="17"/>
      <x:c r="L1335" s="17"/>
      <x:c r="M1335" s="17"/>
      <x:c r="N1335" s="22"/>
      <x:c r="O1335" s="17"/>
    </x:row>
    <x:row r="1336">
      <x:c r="A1336" s="17"/>
      <x:c r="B1336" s="20"/>
      <x:c r="C1336" s="21"/>
      <x:c r="D1336" s="17"/>
      <x:c r="E1336" s="17"/>
      <x:c r="F1336" s="17"/>
      <x:c r="G1336" s="17"/>
      <x:c r="H1336" s="17"/>
      <x:c r="I1336" s="17"/>
      <x:c r="J1336" s="17"/>
      <x:c r="K1336" s="17"/>
      <x:c r="L1336" s="17"/>
      <x:c r="M1336" s="17"/>
      <x:c r="N1336" s="22"/>
      <x:c r="O1336" s="17"/>
    </x:row>
    <x:row r="1337">
      <x:c r="A1337" s="17"/>
      <x:c r="B1337" s="20"/>
      <x:c r="C1337" s="21"/>
      <x:c r="D1337" s="17"/>
      <x:c r="E1337" s="17"/>
      <x:c r="F1337" s="17"/>
      <x:c r="G1337" s="17"/>
      <x:c r="H1337" s="17"/>
      <x:c r="I1337" s="17"/>
      <x:c r="J1337" s="17"/>
      <x:c r="K1337" s="17"/>
      <x:c r="L1337" s="17"/>
      <x:c r="M1337" s="17"/>
      <x:c r="N1337" s="22"/>
      <x:c r="O1337" s="17"/>
    </x:row>
    <x:row r="1338">
      <x:c r="A1338" s="17"/>
      <x:c r="B1338" s="20"/>
      <x:c r="C1338" s="21"/>
      <x:c r="D1338" s="17"/>
      <x:c r="E1338" s="17"/>
      <x:c r="F1338" s="17"/>
      <x:c r="G1338" s="17"/>
      <x:c r="H1338" s="17"/>
      <x:c r="I1338" s="17"/>
      <x:c r="J1338" s="17"/>
      <x:c r="K1338" s="17"/>
      <x:c r="L1338" s="17"/>
      <x:c r="M1338" s="17"/>
      <x:c r="N1338" s="22"/>
      <x:c r="O1338" s="17"/>
    </x:row>
    <x:row r="1339">
      <x:c r="A1339" s="17"/>
      <x:c r="B1339" s="20"/>
      <x:c r="C1339" s="21"/>
      <x:c r="D1339" s="17"/>
      <x:c r="E1339" s="17"/>
      <x:c r="F1339" s="17"/>
      <x:c r="G1339" s="17"/>
      <x:c r="H1339" s="17"/>
      <x:c r="I1339" s="17"/>
      <x:c r="J1339" s="17"/>
      <x:c r="K1339" s="17"/>
      <x:c r="L1339" s="17"/>
      <x:c r="M1339" s="17"/>
      <x:c r="N1339" s="22"/>
      <x:c r="O1339" s="17"/>
    </x:row>
    <x:row r="1340">
      <x:c r="A1340" s="17"/>
      <x:c r="B1340" s="20"/>
      <x:c r="C1340" s="21"/>
      <x:c r="D1340" s="17"/>
      <x:c r="E1340" s="17"/>
      <x:c r="F1340" s="17"/>
      <x:c r="G1340" s="17"/>
      <x:c r="H1340" s="17"/>
      <x:c r="I1340" s="17"/>
      <x:c r="J1340" s="17"/>
      <x:c r="K1340" s="17"/>
      <x:c r="L1340" s="17"/>
      <x:c r="M1340" s="17"/>
      <x:c r="N1340" s="22"/>
      <x:c r="O1340" s="17"/>
    </x:row>
    <x:row r="1341">
      <x:c r="A1341" s="17"/>
      <x:c r="B1341" s="20"/>
      <x:c r="C1341" s="21"/>
      <x:c r="D1341" s="17"/>
      <x:c r="E1341" s="17"/>
      <x:c r="F1341" s="17"/>
      <x:c r="G1341" s="17"/>
      <x:c r="H1341" s="17"/>
      <x:c r="I1341" s="17"/>
      <x:c r="J1341" s="17"/>
      <x:c r="K1341" s="17"/>
      <x:c r="L1341" s="17"/>
      <x:c r="M1341" s="17"/>
      <x:c r="N1341" s="22"/>
      <x:c r="O1341" s="17"/>
    </x:row>
    <x:row r="1342">
      <x:c r="A1342" s="17"/>
      <x:c r="B1342" s="20"/>
      <x:c r="C1342" s="21"/>
      <x:c r="D1342" s="17"/>
      <x:c r="E1342" s="17"/>
      <x:c r="F1342" s="17"/>
      <x:c r="G1342" s="17"/>
      <x:c r="H1342" s="17"/>
      <x:c r="I1342" s="17"/>
      <x:c r="J1342" s="17"/>
      <x:c r="K1342" s="17"/>
      <x:c r="L1342" s="17"/>
      <x:c r="M1342" s="17"/>
      <x:c r="N1342" s="22"/>
      <x:c r="O1342" s="17"/>
    </x:row>
    <x:row r="1343">
      <x:c r="A1343" s="17"/>
      <x:c r="B1343" s="20"/>
      <x:c r="C1343" s="21"/>
      <x:c r="D1343" s="17"/>
      <x:c r="E1343" s="17"/>
      <x:c r="F1343" s="17"/>
      <x:c r="G1343" s="17"/>
      <x:c r="H1343" s="17"/>
      <x:c r="I1343" s="17"/>
      <x:c r="J1343" s="17"/>
      <x:c r="K1343" s="17"/>
      <x:c r="L1343" s="17"/>
      <x:c r="M1343" s="17"/>
      <x:c r="N1343" s="22"/>
      <x:c r="O1343" s="17"/>
    </x:row>
    <x:row r="1344">
      <x:c r="A1344" s="17"/>
      <x:c r="B1344" s="20"/>
      <x:c r="C1344" s="21"/>
      <x:c r="D1344" s="17"/>
      <x:c r="E1344" s="17"/>
      <x:c r="F1344" s="17"/>
      <x:c r="G1344" s="17"/>
      <x:c r="H1344" s="17"/>
      <x:c r="I1344" s="17"/>
      <x:c r="J1344" s="17"/>
      <x:c r="K1344" s="17"/>
      <x:c r="L1344" s="17"/>
      <x:c r="M1344" s="17"/>
      <x:c r="N1344" s="22"/>
      <x:c r="O1344" s="17"/>
    </x:row>
    <x:row r="1345">
      <x:c r="A1345" s="17"/>
      <x:c r="B1345" s="20"/>
      <x:c r="C1345" s="21"/>
      <x:c r="D1345" s="17"/>
      <x:c r="E1345" s="17"/>
      <x:c r="F1345" s="17"/>
      <x:c r="G1345" s="17"/>
      <x:c r="H1345" s="17"/>
      <x:c r="I1345" s="17"/>
      <x:c r="J1345" s="17"/>
      <x:c r="K1345" s="17"/>
      <x:c r="L1345" s="17"/>
      <x:c r="M1345" s="17"/>
      <x:c r="N1345" s="22"/>
      <x:c r="O1345" s="17"/>
    </x:row>
    <x:row r="1346">
      <x:c r="A1346" s="17"/>
      <x:c r="B1346" s="20"/>
      <x:c r="C1346" s="21"/>
      <x:c r="D1346" s="17"/>
      <x:c r="E1346" s="17"/>
      <x:c r="F1346" s="17"/>
      <x:c r="G1346" s="17"/>
      <x:c r="H1346" s="17"/>
      <x:c r="I1346" s="17"/>
      <x:c r="J1346" s="17"/>
      <x:c r="K1346" s="17"/>
      <x:c r="L1346" s="17"/>
      <x:c r="M1346" s="17"/>
      <x:c r="N1346" s="22"/>
      <x:c r="O1346" s="17"/>
    </x:row>
    <x:row r="1347">
      <x:c r="A1347" s="17"/>
      <x:c r="B1347" s="20"/>
      <x:c r="C1347" s="21"/>
      <x:c r="D1347" s="17"/>
      <x:c r="E1347" s="17"/>
      <x:c r="F1347" s="17"/>
      <x:c r="G1347" s="17"/>
      <x:c r="H1347" s="17"/>
      <x:c r="I1347" s="17"/>
      <x:c r="J1347" s="17"/>
      <x:c r="K1347" s="17"/>
      <x:c r="L1347" s="17"/>
      <x:c r="M1347" s="17"/>
      <x:c r="N1347" s="22"/>
      <x:c r="O1347" s="17"/>
    </x:row>
    <x:row r="1348">
      <x:c r="A1348" s="17"/>
      <x:c r="B1348" s="20"/>
      <x:c r="C1348" s="21"/>
      <x:c r="D1348" s="17"/>
      <x:c r="E1348" s="17"/>
      <x:c r="F1348" s="17"/>
      <x:c r="G1348" s="17"/>
      <x:c r="H1348" s="17"/>
      <x:c r="I1348" s="17"/>
      <x:c r="J1348" s="17"/>
      <x:c r="K1348" s="17"/>
      <x:c r="L1348" s="17"/>
      <x:c r="M1348" s="17"/>
      <x:c r="N1348" s="22"/>
      <x:c r="O1348" s="17"/>
    </x:row>
    <x:row r="1349">
      <x:c r="A1349" s="17"/>
      <x:c r="B1349" s="20"/>
      <x:c r="C1349" s="21"/>
      <x:c r="D1349" s="17"/>
      <x:c r="E1349" s="17"/>
      <x:c r="F1349" s="17"/>
      <x:c r="G1349" s="17"/>
      <x:c r="H1349" s="17"/>
      <x:c r="I1349" s="17"/>
      <x:c r="J1349" s="17"/>
      <x:c r="K1349" s="17"/>
      <x:c r="L1349" s="17"/>
      <x:c r="M1349" s="17"/>
      <x:c r="N1349" s="22"/>
      <x:c r="O1349" s="17"/>
    </x:row>
    <x:row r="1350">
      <x:c r="A1350" s="17"/>
      <x:c r="B1350" s="20"/>
      <x:c r="C1350" s="21"/>
      <x:c r="D1350" s="17"/>
      <x:c r="E1350" s="17"/>
      <x:c r="F1350" s="17"/>
      <x:c r="G1350" s="17"/>
      <x:c r="H1350" s="17"/>
      <x:c r="I1350" s="17"/>
      <x:c r="J1350" s="17"/>
      <x:c r="K1350" s="17"/>
      <x:c r="L1350" s="17"/>
      <x:c r="M1350" s="17"/>
      <x:c r="N1350" s="22"/>
      <x:c r="O1350" s="17"/>
    </x:row>
    <x:row r="1351">
      <x:c r="A1351" s="17"/>
      <x:c r="B1351" s="20"/>
      <x:c r="C1351" s="21"/>
      <x:c r="D1351" s="17"/>
      <x:c r="E1351" s="17"/>
      <x:c r="F1351" s="17"/>
      <x:c r="G1351" s="17"/>
      <x:c r="H1351" s="17"/>
      <x:c r="I1351" s="17"/>
      <x:c r="J1351" s="17"/>
      <x:c r="K1351" s="17"/>
      <x:c r="L1351" s="17"/>
      <x:c r="M1351" s="17"/>
      <x:c r="N1351" s="22"/>
      <x:c r="O1351" s="17"/>
    </x:row>
    <x:row r="1352">
      <x:c r="A1352" s="17"/>
      <x:c r="B1352" s="20"/>
      <x:c r="C1352" s="21"/>
      <x:c r="D1352" s="17"/>
      <x:c r="E1352" s="17"/>
      <x:c r="F1352" s="17"/>
      <x:c r="G1352" s="17"/>
      <x:c r="H1352" s="17"/>
      <x:c r="I1352" s="17"/>
      <x:c r="J1352" s="17"/>
      <x:c r="K1352" s="17"/>
      <x:c r="L1352" s="17"/>
      <x:c r="M1352" s="17"/>
      <x:c r="N1352" s="22"/>
      <x:c r="O1352" s="17"/>
    </x:row>
    <x:row r="1353">
      <x:c r="A1353" s="17"/>
      <x:c r="B1353" s="20"/>
      <x:c r="C1353" s="21"/>
      <x:c r="D1353" s="17"/>
      <x:c r="E1353" s="17"/>
      <x:c r="F1353" s="17"/>
      <x:c r="G1353" s="17"/>
      <x:c r="H1353" s="17"/>
      <x:c r="I1353" s="17"/>
      <x:c r="J1353" s="17"/>
      <x:c r="K1353" s="17"/>
      <x:c r="L1353" s="17"/>
      <x:c r="M1353" s="17"/>
      <x:c r="N1353" s="22"/>
      <x:c r="O1353" s="17"/>
    </x:row>
    <x:row r="1354">
      <x:c r="A1354" s="17"/>
      <x:c r="B1354" s="20"/>
      <x:c r="C1354" s="21"/>
      <x:c r="D1354" s="17"/>
      <x:c r="E1354" s="17"/>
      <x:c r="F1354" s="17"/>
      <x:c r="G1354" s="17"/>
      <x:c r="H1354" s="17"/>
      <x:c r="I1354" s="17"/>
      <x:c r="J1354" s="17"/>
      <x:c r="K1354" s="17"/>
      <x:c r="L1354" s="17"/>
      <x:c r="M1354" s="17"/>
      <x:c r="N1354" s="22"/>
      <x:c r="O1354" s="17"/>
    </x:row>
    <x:row r="1355">
      <x:c r="A1355" s="17"/>
      <x:c r="B1355" s="20"/>
      <x:c r="C1355" s="21"/>
      <x:c r="D1355" s="17"/>
      <x:c r="E1355" s="17"/>
      <x:c r="F1355" s="17"/>
      <x:c r="G1355" s="17"/>
      <x:c r="H1355" s="17"/>
      <x:c r="I1355" s="17"/>
      <x:c r="J1355" s="17"/>
      <x:c r="K1355" s="17"/>
      <x:c r="L1355" s="17"/>
      <x:c r="M1355" s="17"/>
      <x:c r="N1355" s="22"/>
      <x:c r="O1355" s="17"/>
    </x:row>
    <x:row r="1356">
      <x:c r="A1356" s="17"/>
      <x:c r="B1356" s="20"/>
      <x:c r="C1356" s="21"/>
      <x:c r="D1356" s="17"/>
      <x:c r="E1356" s="17"/>
      <x:c r="F1356" s="17"/>
      <x:c r="G1356" s="17"/>
      <x:c r="H1356" s="17"/>
      <x:c r="I1356" s="17"/>
      <x:c r="J1356" s="17"/>
      <x:c r="K1356" s="17"/>
      <x:c r="L1356" s="17"/>
      <x:c r="M1356" s="17"/>
      <x:c r="N1356" s="22"/>
      <x:c r="O1356" s="17"/>
    </x:row>
    <x:row r="1357">
      <x:c r="A1357" s="17"/>
      <x:c r="B1357" s="20"/>
      <x:c r="C1357" s="21"/>
      <x:c r="D1357" s="17"/>
      <x:c r="E1357" s="17"/>
      <x:c r="F1357" s="17"/>
      <x:c r="G1357" s="17"/>
      <x:c r="H1357" s="17"/>
      <x:c r="I1357" s="17"/>
      <x:c r="J1357" s="17"/>
      <x:c r="K1357" s="17"/>
      <x:c r="L1357" s="17"/>
      <x:c r="M1357" s="17"/>
      <x:c r="N1357" s="22"/>
      <x:c r="O1357" s="17"/>
    </x:row>
    <x:row r="1358">
      <x:c r="A1358" s="17"/>
      <x:c r="B1358" s="20"/>
      <x:c r="C1358" s="21"/>
      <x:c r="D1358" s="17"/>
      <x:c r="E1358" s="17"/>
      <x:c r="F1358" s="17"/>
      <x:c r="G1358" s="17"/>
      <x:c r="H1358" s="17"/>
      <x:c r="I1358" s="17"/>
      <x:c r="J1358" s="17"/>
      <x:c r="K1358" s="17"/>
      <x:c r="L1358" s="17"/>
      <x:c r="M1358" s="17"/>
      <x:c r="N1358" s="22"/>
      <x:c r="O1358" s="17"/>
    </x:row>
    <x:row r="1359">
      <x:c r="A1359" s="17"/>
      <x:c r="B1359" s="20"/>
      <x:c r="C1359" s="21"/>
      <x:c r="D1359" s="17"/>
      <x:c r="E1359" s="17"/>
      <x:c r="F1359" s="17"/>
      <x:c r="G1359" s="17"/>
      <x:c r="H1359" s="17"/>
      <x:c r="I1359" s="17"/>
      <x:c r="J1359" s="17"/>
      <x:c r="K1359" s="17"/>
      <x:c r="L1359" s="17"/>
      <x:c r="M1359" s="17"/>
      <x:c r="N1359" s="22"/>
      <x:c r="O1359" s="17"/>
    </x:row>
    <x:row r="1360">
      <x:c r="A1360" s="17"/>
      <x:c r="B1360" s="20"/>
      <x:c r="C1360" s="21"/>
      <x:c r="D1360" s="17"/>
      <x:c r="E1360" s="17"/>
      <x:c r="F1360" s="17"/>
      <x:c r="G1360" s="17"/>
      <x:c r="H1360" s="17"/>
      <x:c r="I1360" s="17"/>
      <x:c r="J1360" s="17"/>
      <x:c r="K1360" s="17"/>
      <x:c r="L1360" s="17"/>
      <x:c r="M1360" s="17"/>
      <x:c r="N1360" s="22"/>
      <x:c r="O1360" s="17"/>
    </x:row>
    <x:row r="1361">
      <x:c r="A1361" s="17"/>
      <x:c r="B1361" s="20"/>
      <x:c r="C1361" s="21"/>
      <x:c r="D1361" s="17"/>
      <x:c r="E1361" s="17"/>
      <x:c r="F1361" s="17"/>
      <x:c r="G1361" s="17"/>
      <x:c r="H1361" s="17"/>
      <x:c r="I1361" s="17"/>
      <x:c r="J1361" s="17"/>
      <x:c r="K1361" s="17"/>
      <x:c r="L1361" s="17"/>
      <x:c r="M1361" s="17"/>
      <x:c r="N1361" s="22"/>
      <x:c r="O1361" s="17"/>
    </x:row>
    <x:row r="1362">
      <x:c r="A1362" s="17"/>
      <x:c r="B1362" s="20"/>
      <x:c r="C1362" s="21"/>
      <x:c r="D1362" s="17"/>
      <x:c r="E1362" s="17"/>
      <x:c r="F1362" s="17"/>
      <x:c r="G1362" s="17"/>
      <x:c r="H1362" s="17"/>
      <x:c r="I1362" s="17"/>
      <x:c r="J1362" s="17"/>
      <x:c r="K1362" s="17"/>
      <x:c r="L1362" s="17"/>
      <x:c r="M1362" s="17"/>
      <x:c r="N1362" s="22"/>
      <x:c r="O1362" s="17"/>
    </x:row>
    <x:row r="1363">
      <x:c r="A1363" s="17"/>
      <x:c r="B1363" s="20"/>
      <x:c r="C1363" s="21"/>
      <x:c r="D1363" s="17"/>
      <x:c r="E1363" s="17"/>
      <x:c r="F1363" s="17"/>
      <x:c r="G1363" s="17"/>
      <x:c r="H1363" s="17"/>
      <x:c r="I1363" s="17"/>
      <x:c r="J1363" s="17"/>
      <x:c r="K1363" s="17"/>
      <x:c r="L1363" s="17"/>
      <x:c r="M1363" s="17"/>
      <x:c r="N1363" s="22"/>
      <x:c r="O1363" s="17"/>
    </x:row>
    <x:row r="1364">
      <x:c r="A1364" s="17"/>
      <x:c r="B1364" s="20"/>
      <x:c r="C1364" s="21"/>
      <x:c r="D1364" s="17"/>
      <x:c r="E1364" s="17"/>
      <x:c r="F1364" s="17"/>
      <x:c r="G1364" s="17"/>
      <x:c r="H1364" s="17"/>
      <x:c r="I1364" s="17"/>
      <x:c r="J1364" s="17"/>
      <x:c r="K1364" s="17"/>
      <x:c r="L1364" s="17"/>
      <x:c r="M1364" s="17"/>
      <x:c r="N1364" s="22"/>
      <x:c r="O1364" s="17"/>
    </x:row>
    <x:row r="1365">
      <x:c r="A1365" s="17"/>
      <x:c r="B1365" s="20"/>
      <x:c r="C1365" s="21"/>
      <x:c r="D1365" s="17"/>
      <x:c r="E1365" s="17"/>
      <x:c r="F1365" s="17"/>
      <x:c r="G1365" s="17"/>
      <x:c r="H1365" s="17"/>
      <x:c r="I1365" s="17"/>
      <x:c r="J1365" s="17"/>
      <x:c r="K1365" s="17"/>
      <x:c r="L1365" s="17"/>
      <x:c r="M1365" s="17"/>
      <x:c r="N1365" s="22"/>
      <x:c r="O1365" s="17"/>
    </x:row>
    <x:row r="1366">
      <x:c r="A1366" s="17"/>
      <x:c r="B1366" s="20"/>
      <x:c r="C1366" s="21"/>
      <x:c r="D1366" s="17"/>
      <x:c r="E1366" s="17"/>
      <x:c r="F1366" s="17"/>
      <x:c r="G1366" s="17"/>
      <x:c r="H1366" s="17"/>
      <x:c r="I1366" s="17"/>
      <x:c r="J1366" s="17"/>
      <x:c r="K1366" s="17"/>
      <x:c r="L1366" s="17"/>
      <x:c r="M1366" s="17"/>
      <x:c r="N1366" s="22"/>
      <x:c r="O1366" s="17"/>
    </x:row>
    <x:row r="1367">
      <x:c r="A1367" s="17"/>
      <x:c r="B1367" s="20"/>
      <x:c r="C1367" s="21"/>
      <x:c r="D1367" s="17"/>
      <x:c r="E1367" s="17"/>
      <x:c r="F1367" s="17"/>
      <x:c r="G1367" s="17"/>
      <x:c r="H1367" s="17"/>
      <x:c r="I1367" s="17"/>
      <x:c r="J1367" s="17"/>
      <x:c r="K1367" s="17"/>
      <x:c r="L1367" s="17"/>
      <x:c r="M1367" s="17"/>
      <x:c r="N1367" s="22"/>
      <x:c r="O1367" s="17"/>
    </x:row>
    <x:row r="1368">
      <x:c r="A1368" s="17"/>
      <x:c r="B1368" s="20"/>
      <x:c r="C1368" s="21"/>
      <x:c r="D1368" s="17"/>
      <x:c r="E1368" s="17"/>
      <x:c r="F1368" s="17"/>
      <x:c r="G1368" s="17"/>
      <x:c r="H1368" s="17"/>
      <x:c r="I1368" s="17"/>
      <x:c r="J1368" s="17"/>
      <x:c r="K1368" s="17"/>
      <x:c r="L1368" s="17"/>
      <x:c r="M1368" s="17"/>
      <x:c r="N1368" s="22"/>
      <x:c r="O1368" s="17"/>
    </x:row>
    <x:row r="1369">
      <x:c r="A1369" s="17"/>
      <x:c r="B1369" s="20"/>
      <x:c r="C1369" s="21"/>
      <x:c r="D1369" s="17"/>
      <x:c r="E1369" s="17"/>
      <x:c r="F1369" s="17"/>
      <x:c r="G1369" s="17"/>
      <x:c r="H1369" s="17"/>
      <x:c r="I1369" s="17"/>
      <x:c r="J1369" s="17"/>
      <x:c r="K1369" s="17"/>
      <x:c r="L1369" s="17"/>
      <x:c r="M1369" s="17"/>
      <x:c r="N1369" s="22"/>
      <x:c r="O1369" s="17"/>
    </x:row>
    <x:row r="1370">
      <x:c r="A1370" s="17"/>
      <x:c r="B1370" s="20"/>
      <x:c r="C1370" s="21"/>
      <x:c r="D1370" s="17"/>
      <x:c r="E1370" s="17"/>
      <x:c r="F1370" s="17"/>
      <x:c r="G1370" s="17"/>
      <x:c r="H1370" s="17"/>
      <x:c r="I1370" s="17"/>
      <x:c r="J1370" s="17"/>
      <x:c r="K1370" s="17"/>
      <x:c r="L1370" s="17"/>
      <x:c r="M1370" s="17"/>
      <x:c r="N1370" s="22"/>
      <x:c r="O1370" s="17"/>
    </x:row>
    <x:row r="1371">
      <x:c r="A1371" s="17"/>
      <x:c r="B1371" s="20"/>
      <x:c r="C1371" s="21"/>
      <x:c r="D1371" s="17"/>
      <x:c r="E1371" s="17"/>
      <x:c r="F1371" s="17"/>
      <x:c r="G1371" s="17"/>
      <x:c r="H1371" s="17"/>
      <x:c r="I1371" s="17"/>
      <x:c r="J1371" s="17"/>
      <x:c r="K1371" s="17"/>
      <x:c r="L1371" s="17"/>
      <x:c r="M1371" s="17"/>
      <x:c r="N1371" s="22"/>
      <x:c r="O1371" s="17"/>
    </x:row>
    <x:row r="1372">
      <x:c r="A1372" s="17"/>
      <x:c r="B1372" s="20"/>
      <x:c r="C1372" s="21"/>
      <x:c r="D1372" s="17"/>
      <x:c r="E1372" s="17"/>
      <x:c r="F1372" s="17"/>
      <x:c r="G1372" s="17"/>
      <x:c r="H1372" s="17"/>
      <x:c r="I1372" s="17"/>
      <x:c r="J1372" s="17"/>
      <x:c r="K1372" s="17"/>
      <x:c r="L1372" s="17"/>
      <x:c r="M1372" s="17"/>
      <x:c r="N1372" s="22"/>
      <x:c r="O1372" s="17"/>
    </x:row>
    <x:row r="1373">
      <x:c r="A1373" s="17"/>
      <x:c r="B1373" s="20"/>
      <x:c r="C1373" s="21"/>
      <x:c r="D1373" s="17"/>
      <x:c r="E1373" s="17"/>
      <x:c r="F1373" s="17"/>
      <x:c r="G1373" s="17"/>
      <x:c r="H1373" s="17"/>
      <x:c r="I1373" s="17"/>
      <x:c r="J1373" s="17"/>
      <x:c r="K1373" s="17"/>
      <x:c r="L1373" s="17"/>
      <x:c r="M1373" s="17"/>
      <x:c r="N1373" s="22"/>
      <x:c r="O1373" s="17"/>
    </x:row>
    <x:row r="1374">
      <x:c r="A1374" s="17"/>
      <x:c r="B1374" s="20"/>
      <x:c r="C1374" s="21"/>
      <x:c r="D1374" s="17"/>
      <x:c r="E1374" s="17"/>
      <x:c r="F1374" s="17"/>
      <x:c r="G1374" s="17"/>
      <x:c r="H1374" s="17"/>
      <x:c r="I1374" s="17"/>
      <x:c r="J1374" s="17"/>
      <x:c r="K1374" s="17"/>
      <x:c r="L1374" s="17"/>
      <x:c r="M1374" s="17"/>
      <x:c r="N1374" s="22"/>
      <x:c r="O1374" s="17"/>
    </x:row>
    <x:row r="1375">
      <x:c r="A1375" s="17"/>
      <x:c r="B1375" s="20"/>
      <x:c r="C1375" s="21"/>
      <x:c r="D1375" s="17"/>
      <x:c r="E1375" s="17"/>
      <x:c r="F1375" s="17"/>
      <x:c r="G1375" s="17"/>
      <x:c r="H1375" s="17"/>
      <x:c r="I1375" s="17"/>
      <x:c r="J1375" s="17"/>
      <x:c r="K1375" s="17"/>
      <x:c r="L1375" s="17"/>
      <x:c r="M1375" s="17"/>
      <x:c r="N1375" s="22"/>
      <x:c r="O1375" s="17"/>
    </x:row>
    <x:row r="1376">
      <x:c r="A1376" s="17"/>
      <x:c r="B1376" s="20"/>
      <x:c r="C1376" s="21"/>
      <x:c r="D1376" s="17"/>
      <x:c r="E1376" s="17"/>
      <x:c r="F1376" s="17"/>
      <x:c r="G1376" s="17"/>
      <x:c r="H1376" s="17"/>
      <x:c r="I1376" s="17"/>
      <x:c r="J1376" s="17"/>
      <x:c r="K1376" s="17"/>
      <x:c r="L1376" s="17"/>
      <x:c r="M1376" s="17"/>
      <x:c r="N1376" s="22"/>
      <x:c r="O1376" s="17"/>
    </x:row>
    <x:row r="1377">
      <x:c r="A1377" s="17"/>
      <x:c r="B1377" s="20"/>
      <x:c r="C1377" s="21"/>
      <x:c r="D1377" s="17"/>
      <x:c r="E1377" s="17"/>
      <x:c r="F1377" s="17"/>
      <x:c r="G1377" s="17"/>
      <x:c r="H1377" s="17"/>
      <x:c r="I1377" s="17"/>
      <x:c r="J1377" s="17"/>
      <x:c r="K1377" s="17"/>
      <x:c r="L1377" s="17"/>
      <x:c r="M1377" s="17"/>
      <x:c r="N1377" s="22"/>
      <x:c r="O1377" s="17"/>
    </x:row>
    <x:row r="1378">
      <x:c r="A1378" s="17"/>
      <x:c r="B1378" s="20"/>
      <x:c r="C1378" s="21"/>
      <x:c r="D1378" s="17"/>
      <x:c r="E1378" s="17"/>
      <x:c r="F1378" s="17"/>
      <x:c r="G1378" s="17"/>
      <x:c r="H1378" s="17"/>
      <x:c r="I1378" s="17"/>
      <x:c r="J1378" s="17"/>
      <x:c r="K1378" s="17"/>
      <x:c r="L1378" s="17"/>
      <x:c r="M1378" s="17"/>
      <x:c r="N1378" s="22"/>
      <x:c r="O1378" s="17"/>
    </x:row>
    <x:row r="1379">
      <x:c r="A1379" s="17"/>
      <x:c r="B1379" s="20"/>
      <x:c r="C1379" s="21"/>
      <x:c r="D1379" s="17"/>
      <x:c r="E1379" s="17"/>
      <x:c r="F1379" s="17"/>
      <x:c r="G1379" s="17"/>
      <x:c r="H1379" s="17"/>
      <x:c r="I1379" s="17"/>
      <x:c r="J1379" s="17"/>
      <x:c r="K1379" s="17"/>
      <x:c r="L1379" s="17"/>
      <x:c r="M1379" s="17"/>
      <x:c r="N1379" s="22"/>
      <x:c r="O1379" s="17"/>
    </x:row>
    <x:row r="1380">
      <x:c r="A1380" s="17"/>
      <x:c r="B1380" s="20"/>
      <x:c r="C1380" s="21"/>
      <x:c r="D1380" s="17"/>
      <x:c r="E1380" s="17"/>
      <x:c r="F1380" s="17"/>
      <x:c r="G1380" s="17"/>
      <x:c r="H1380" s="17"/>
      <x:c r="I1380" s="17"/>
      <x:c r="J1380" s="17"/>
      <x:c r="K1380" s="17"/>
      <x:c r="L1380" s="17"/>
      <x:c r="M1380" s="17"/>
      <x:c r="N1380" s="22"/>
      <x:c r="O1380" s="17"/>
    </x:row>
    <x:row r="1381">
      <x:c r="A1381" s="17"/>
      <x:c r="B1381" s="20"/>
      <x:c r="C1381" s="21"/>
      <x:c r="D1381" s="17"/>
      <x:c r="E1381" s="17"/>
      <x:c r="F1381" s="17"/>
      <x:c r="G1381" s="17"/>
      <x:c r="H1381" s="17"/>
      <x:c r="I1381" s="17"/>
      <x:c r="J1381" s="17"/>
      <x:c r="K1381" s="17"/>
      <x:c r="L1381" s="17"/>
      <x:c r="M1381" s="17"/>
      <x:c r="N1381" s="22"/>
      <x:c r="O1381" s="17"/>
    </x:row>
    <x:row r="1382">
      <x:c r="A1382" s="17"/>
      <x:c r="B1382" s="20"/>
      <x:c r="C1382" s="21"/>
      <x:c r="D1382" s="17"/>
      <x:c r="E1382" s="17"/>
      <x:c r="F1382" s="17"/>
      <x:c r="G1382" s="17"/>
      <x:c r="H1382" s="17"/>
      <x:c r="I1382" s="17"/>
      <x:c r="J1382" s="17"/>
      <x:c r="K1382" s="17"/>
      <x:c r="L1382" s="17"/>
      <x:c r="M1382" s="17"/>
      <x:c r="N1382" s="22"/>
      <x:c r="O1382" s="17"/>
    </x:row>
    <x:row r="1383">
      <x:c r="A1383" s="17"/>
      <x:c r="B1383" s="20"/>
      <x:c r="C1383" s="21"/>
      <x:c r="D1383" s="17"/>
      <x:c r="E1383" s="17"/>
      <x:c r="F1383" s="17"/>
      <x:c r="G1383" s="17"/>
      <x:c r="H1383" s="17"/>
      <x:c r="I1383" s="17"/>
      <x:c r="J1383" s="17"/>
      <x:c r="K1383" s="17"/>
      <x:c r="L1383" s="17"/>
      <x:c r="M1383" s="17"/>
      <x:c r="N1383" s="22"/>
      <x:c r="O1383" s="17"/>
    </x:row>
    <x:row r="1384">
      <x:c r="A1384" s="17"/>
      <x:c r="B1384" s="20"/>
      <x:c r="C1384" s="21"/>
      <x:c r="D1384" s="17"/>
      <x:c r="E1384" s="17"/>
      <x:c r="F1384" s="17"/>
      <x:c r="G1384" s="17"/>
      <x:c r="H1384" s="17"/>
      <x:c r="I1384" s="17"/>
      <x:c r="J1384" s="17"/>
      <x:c r="K1384" s="17"/>
      <x:c r="L1384" s="17"/>
      <x:c r="M1384" s="17"/>
      <x:c r="N1384" s="22"/>
      <x:c r="O1384" s="17"/>
    </x:row>
    <x:row r="1385">
      <x:c r="A1385" s="17"/>
      <x:c r="B1385" s="20"/>
      <x:c r="C1385" s="21"/>
      <x:c r="D1385" s="17"/>
      <x:c r="E1385" s="17"/>
      <x:c r="F1385" s="17"/>
      <x:c r="G1385" s="17"/>
      <x:c r="H1385" s="17"/>
      <x:c r="I1385" s="17"/>
      <x:c r="J1385" s="17"/>
      <x:c r="K1385" s="17"/>
      <x:c r="L1385" s="17"/>
      <x:c r="M1385" s="17"/>
      <x:c r="N1385" s="22"/>
      <x:c r="O1385" s="17"/>
    </x:row>
    <x:row r="1386">
      <x:c r="A1386" s="17"/>
      <x:c r="B1386" s="20"/>
      <x:c r="C1386" s="21"/>
      <x:c r="D1386" s="17"/>
      <x:c r="E1386" s="17"/>
      <x:c r="F1386" s="17"/>
      <x:c r="G1386" s="17"/>
      <x:c r="H1386" s="17"/>
      <x:c r="I1386" s="17"/>
      <x:c r="J1386" s="17"/>
      <x:c r="K1386" s="17"/>
      <x:c r="L1386" s="17"/>
      <x:c r="M1386" s="17"/>
      <x:c r="N1386" s="22"/>
      <x:c r="O1386" s="17"/>
    </x:row>
    <x:row r="1387">
      <x:c r="A1387" s="17"/>
      <x:c r="B1387" s="20"/>
      <x:c r="C1387" s="21"/>
      <x:c r="D1387" s="17"/>
      <x:c r="E1387" s="17"/>
      <x:c r="F1387" s="17"/>
      <x:c r="G1387" s="17"/>
      <x:c r="H1387" s="17"/>
      <x:c r="I1387" s="17"/>
      <x:c r="J1387" s="17"/>
      <x:c r="K1387" s="17"/>
      <x:c r="L1387" s="17"/>
      <x:c r="M1387" s="17"/>
      <x:c r="N1387" s="22"/>
      <x:c r="O1387" s="17"/>
    </x:row>
    <x:row r="1388">
      <x:c r="A1388" s="17"/>
      <x:c r="B1388" s="20"/>
      <x:c r="C1388" s="21"/>
      <x:c r="D1388" s="17"/>
      <x:c r="E1388" s="17"/>
      <x:c r="F1388" s="17"/>
      <x:c r="G1388" s="17"/>
      <x:c r="H1388" s="17"/>
      <x:c r="I1388" s="17"/>
      <x:c r="J1388" s="17"/>
      <x:c r="K1388" s="17"/>
      <x:c r="L1388" s="17"/>
      <x:c r="M1388" s="17"/>
      <x:c r="N1388" s="22"/>
      <x:c r="O1388" s="17"/>
    </x:row>
    <x:row r="1389">
      <x:c r="A1389" s="17"/>
      <x:c r="B1389" s="20"/>
      <x:c r="C1389" s="21"/>
      <x:c r="D1389" s="17"/>
      <x:c r="E1389" s="17"/>
      <x:c r="F1389" s="17"/>
      <x:c r="G1389" s="17"/>
      <x:c r="H1389" s="17"/>
      <x:c r="I1389" s="17"/>
      <x:c r="J1389" s="17"/>
      <x:c r="K1389" s="17"/>
      <x:c r="L1389" s="17"/>
      <x:c r="M1389" s="17"/>
      <x:c r="N1389" s="22"/>
      <x:c r="O1389" s="17"/>
    </x:row>
    <x:row r="1390">
      <x:c r="A1390" s="17"/>
      <x:c r="B1390" s="20"/>
      <x:c r="C1390" s="21"/>
      <x:c r="D1390" s="17"/>
      <x:c r="E1390" s="17"/>
      <x:c r="F1390" s="17"/>
      <x:c r="G1390" s="17"/>
      <x:c r="H1390" s="17"/>
      <x:c r="I1390" s="17"/>
      <x:c r="J1390" s="17"/>
      <x:c r="K1390" s="17"/>
      <x:c r="L1390" s="17"/>
      <x:c r="M1390" s="17"/>
      <x:c r="N1390" s="22"/>
      <x:c r="O1390" s="17"/>
    </x:row>
    <x:row r="1391">
      <x:c r="A1391" s="17"/>
      <x:c r="B1391" s="20"/>
      <x:c r="C1391" s="21"/>
      <x:c r="D1391" s="17"/>
      <x:c r="E1391" s="17"/>
      <x:c r="F1391" s="17"/>
      <x:c r="G1391" s="17"/>
      <x:c r="H1391" s="17"/>
      <x:c r="I1391" s="17"/>
      <x:c r="J1391" s="17"/>
      <x:c r="K1391" s="17"/>
      <x:c r="L1391" s="17"/>
      <x:c r="M1391" s="17"/>
      <x:c r="N1391" s="22"/>
      <x:c r="O1391" s="17"/>
    </x:row>
    <x:row r="1392">
      <x:c r="A1392" s="17"/>
      <x:c r="B1392" s="20"/>
      <x:c r="C1392" s="21"/>
      <x:c r="D1392" s="17"/>
      <x:c r="E1392" s="17"/>
      <x:c r="F1392" s="17"/>
      <x:c r="G1392" s="17"/>
      <x:c r="H1392" s="17"/>
      <x:c r="I1392" s="17"/>
      <x:c r="J1392" s="17"/>
      <x:c r="K1392" s="17"/>
      <x:c r="L1392" s="17"/>
      <x:c r="M1392" s="17"/>
      <x:c r="N1392" s="22"/>
      <x:c r="O1392" s="17"/>
    </x:row>
    <x:row r="1393">
      <x:c r="A1393" s="17"/>
      <x:c r="B1393" s="20"/>
      <x:c r="C1393" s="21"/>
      <x:c r="D1393" s="17"/>
      <x:c r="E1393" s="17"/>
      <x:c r="F1393" s="17"/>
      <x:c r="G1393" s="17"/>
      <x:c r="H1393" s="17"/>
      <x:c r="I1393" s="17"/>
      <x:c r="J1393" s="17"/>
      <x:c r="K1393" s="17"/>
      <x:c r="L1393" s="17"/>
      <x:c r="M1393" s="17"/>
      <x:c r="N1393" s="22"/>
      <x:c r="O1393" s="17"/>
    </x:row>
    <x:row r="1394">
      <x:c r="A1394" s="17"/>
      <x:c r="B1394" s="20"/>
      <x:c r="C1394" s="21"/>
      <x:c r="D1394" s="17"/>
      <x:c r="E1394" s="17"/>
      <x:c r="F1394" s="17"/>
      <x:c r="G1394" s="17"/>
      <x:c r="H1394" s="17"/>
      <x:c r="I1394" s="17"/>
      <x:c r="J1394" s="17"/>
      <x:c r="K1394" s="17"/>
      <x:c r="L1394" s="17"/>
      <x:c r="M1394" s="17"/>
      <x:c r="N1394" s="22"/>
      <x:c r="O1394" s="17"/>
    </x:row>
    <x:row r="1395">
      <x:c r="A1395" s="17"/>
      <x:c r="B1395" s="20"/>
      <x:c r="C1395" s="21"/>
      <x:c r="D1395" s="17"/>
      <x:c r="E1395" s="17"/>
      <x:c r="F1395" s="17"/>
      <x:c r="G1395" s="17"/>
      <x:c r="H1395" s="17"/>
      <x:c r="I1395" s="17"/>
      <x:c r="J1395" s="17"/>
      <x:c r="K1395" s="17"/>
      <x:c r="L1395" s="17"/>
      <x:c r="M1395" s="17"/>
      <x:c r="N1395" s="22"/>
      <x:c r="O1395" s="17"/>
    </x:row>
    <x:row r="1396">
      <x:c r="A1396" s="17"/>
      <x:c r="B1396" s="20"/>
      <x:c r="C1396" s="21"/>
      <x:c r="D1396" s="17"/>
      <x:c r="E1396" s="17"/>
      <x:c r="F1396" s="17"/>
      <x:c r="G1396" s="17"/>
      <x:c r="H1396" s="17"/>
      <x:c r="I1396" s="17"/>
      <x:c r="J1396" s="17"/>
      <x:c r="K1396" s="17"/>
      <x:c r="L1396" s="17"/>
      <x:c r="M1396" s="17"/>
      <x:c r="N1396" s="22"/>
      <x:c r="O1396" s="17"/>
    </x:row>
    <x:row r="1397">
      <x:c r="A1397" s="17"/>
      <x:c r="B1397" s="20"/>
      <x:c r="C1397" s="21"/>
      <x:c r="D1397" s="17"/>
      <x:c r="E1397" s="17"/>
      <x:c r="F1397" s="17"/>
      <x:c r="G1397" s="17"/>
      <x:c r="H1397" s="17"/>
      <x:c r="I1397" s="17"/>
      <x:c r="J1397" s="17"/>
      <x:c r="K1397" s="17"/>
      <x:c r="L1397" s="17"/>
      <x:c r="M1397" s="17"/>
      <x:c r="N1397" s="22"/>
      <x:c r="O1397" s="17"/>
    </x:row>
    <x:row r="1398">
      <x:c r="A1398" s="17"/>
      <x:c r="B1398" s="20"/>
      <x:c r="C1398" s="21"/>
      <x:c r="D1398" s="17"/>
      <x:c r="E1398" s="17"/>
      <x:c r="F1398" s="17"/>
      <x:c r="G1398" s="17"/>
      <x:c r="H1398" s="17"/>
      <x:c r="I1398" s="17"/>
      <x:c r="J1398" s="17"/>
      <x:c r="K1398" s="17"/>
      <x:c r="L1398" s="17"/>
      <x:c r="M1398" s="17"/>
      <x:c r="N1398" s="22"/>
      <x:c r="O1398" s="17"/>
    </x:row>
    <x:row r="1399">
      <x:c r="A1399" s="17"/>
      <x:c r="B1399" s="20"/>
      <x:c r="C1399" s="21"/>
      <x:c r="D1399" s="17"/>
      <x:c r="E1399" s="17"/>
      <x:c r="F1399" s="17"/>
      <x:c r="G1399" s="17"/>
      <x:c r="H1399" s="17"/>
      <x:c r="I1399" s="17"/>
      <x:c r="J1399" s="17"/>
      <x:c r="K1399" s="17"/>
      <x:c r="L1399" s="17"/>
      <x:c r="M1399" s="17"/>
      <x:c r="N1399" s="22"/>
      <x:c r="O1399" s="17"/>
    </x:row>
    <x:row r="1400">
      <x:c r="A1400" s="17"/>
      <x:c r="B1400" s="20"/>
      <x:c r="C1400" s="21"/>
      <x:c r="D1400" s="17"/>
      <x:c r="E1400" s="17"/>
      <x:c r="F1400" s="17"/>
      <x:c r="G1400" s="17"/>
      <x:c r="H1400" s="17"/>
      <x:c r="I1400" s="17"/>
      <x:c r="J1400" s="17"/>
      <x:c r="K1400" s="17"/>
      <x:c r="L1400" s="17"/>
      <x:c r="M1400" s="17"/>
      <x:c r="N1400" s="22"/>
      <x:c r="O1400" s="17"/>
    </x:row>
    <x:row r="1401">
      <x:c r="A1401" s="17"/>
      <x:c r="B1401" s="20"/>
      <x:c r="C1401" s="21"/>
      <x:c r="D1401" s="17"/>
      <x:c r="E1401" s="17"/>
      <x:c r="F1401" s="17"/>
      <x:c r="G1401" s="17"/>
      <x:c r="H1401" s="17"/>
      <x:c r="I1401" s="17"/>
      <x:c r="J1401" s="17"/>
      <x:c r="K1401" s="17"/>
      <x:c r="L1401" s="17"/>
      <x:c r="M1401" s="17"/>
      <x:c r="N1401" s="22"/>
      <x:c r="O1401" s="17"/>
    </x:row>
    <x:row r="1402">
      <x:c r="A1402" s="17"/>
      <x:c r="B1402" s="20"/>
      <x:c r="C1402" s="21"/>
      <x:c r="D1402" s="17"/>
      <x:c r="E1402" s="17"/>
      <x:c r="F1402" s="17"/>
      <x:c r="G1402" s="17"/>
      <x:c r="H1402" s="17"/>
      <x:c r="I1402" s="17"/>
      <x:c r="J1402" s="17"/>
      <x:c r="K1402" s="17"/>
      <x:c r="L1402" s="17"/>
      <x:c r="M1402" s="17"/>
      <x:c r="N1402" s="22"/>
      <x:c r="O1402" s="17"/>
    </x:row>
    <x:row r="1403">
      <x:c r="A1403" s="17"/>
      <x:c r="B1403" s="20"/>
      <x:c r="C1403" s="21"/>
      <x:c r="D1403" s="17"/>
      <x:c r="E1403" s="17"/>
      <x:c r="F1403" s="17"/>
      <x:c r="G1403" s="17"/>
      <x:c r="H1403" s="17"/>
      <x:c r="I1403" s="17"/>
      <x:c r="J1403" s="17"/>
      <x:c r="K1403" s="17"/>
      <x:c r="L1403" s="17"/>
      <x:c r="M1403" s="17"/>
      <x:c r="N1403" s="22"/>
      <x:c r="O1403" s="17"/>
    </x:row>
    <x:row r="1404">
      <x:c r="A1404" s="17"/>
      <x:c r="B1404" s="20"/>
      <x:c r="C1404" s="21"/>
      <x:c r="D1404" s="17"/>
      <x:c r="E1404" s="17"/>
      <x:c r="F1404" s="17"/>
      <x:c r="G1404" s="17"/>
      <x:c r="H1404" s="17"/>
      <x:c r="I1404" s="17"/>
      <x:c r="J1404" s="17"/>
      <x:c r="K1404" s="17"/>
      <x:c r="L1404" s="17"/>
      <x:c r="M1404" s="17"/>
      <x:c r="N1404" s="22"/>
      <x:c r="O1404" s="17"/>
    </x:row>
    <x:row r="1405">
      <x:c r="A1405" s="17"/>
      <x:c r="B1405" s="20"/>
      <x:c r="C1405" s="21"/>
      <x:c r="D1405" s="17"/>
      <x:c r="E1405" s="17"/>
      <x:c r="F1405" s="17"/>
      <x:c r="G1405" s="17"/>
      <x:c r="H1405" s="17"/>
      <x:c r="I1405" s="17"/>
      <x:c r="J1405" s="17"/>
      <x:c r="K1405" s="17"/>
      <x:c r="L1405" s="17"/>
      <x:c r="M1405" s="17"/>
      <x:c r="N1405" s="22"/>
      <x:c r="O1405" s="17"/>
    </x:row>
    <x:row r="1406">
      <x:c r="A1406" s="17"/>
      <x:c r="B1406" s="20"/>
      <x:c r="C1406" s="21"/>
      <x:c r="D1406" s="17"/>
      <x:c r="E1406" s="17"/>
      <x:c r="F1406" s="17"/>
      <x:c r="G1406" s="17"/>
      <x:c r="H1406" s="17"/>
      <x:c r="I1406" s="17"/>
      <x:c r="J1406" s="17"/>
      <x:c r="K1406" s="17"/>
      <x:c r="L1406" s="17"/>
      <x:c r="M1406" s="17"/>
      <x:c r="N1406" s="22"/>
      <x:c r="O1406" s="17"/>
    </x:row>
    <x:row r="1407">
      <x:c r="A1407" s="17"/>
      <x:c r="B1407" s="20"/>
      <x:c r="C1407" s="21"/>
      <x:c r="D1407" s="17"/>
      <x:c r="E1407" s="17"/>
      <x:c r="F1407" s="17"/>
      <x:c r="G1407" s="17"/>
      <x:c r="H1407" s="17"/>
      <x:c r="I1407" s="17"/>
      <x:c r="J1407" s="17"/>
      <x:c r="K1407" s="17"/>
      <x:c r="L1407" s="17"/>
      <x:c r="M1407" s="17"/>
      <x:c r="N1407" s="22"/>
      <x:c r="O1407" s="17"/>
    </x:row>
    <x:row r="1408">
      <x:c r="A1408" s="17"/>
      <x:c r="B1408" s="20"/>
      <x:c r="C1408" s="21"/>
      <x:c r="D1408" s="17"/>
      <x:c r="E1408" s="17"/>
      <x:c r="F1408" s="17"/>
      <x:c r="G1408" s="17"/>
      <x:c r="H1408" s="17"/>
      <x:c r="I1408" s="17"/>
      <x:c r="J1408" s="17"/>
      <x:c r="K1408" s="17"/>
      <x:c r="L1408" s="17"/>
      <x:c r="M1408" s="17"/>
      <x:c r="N1408" s="22"/>
      <x:c r="O1408" s="17"/>
    </x:row>
    <x:row r="1409">
      <x:c r="A1409" s="17"/>
      <x:c r="B1409" s="20"/>
      <x:c r="C1409" s="21"/>
      <x:c r="D1409" s="17"/>
      <x:c r="E1409" s="17"/>
      <x:c r="F1409" s="17"/>
      <x:c r="G1409" s="17"/>
      <x:c r="H1409" s="17"/>
      <x:c r="I1409" s="17"/>
      <x:c r="J1409" s="17"/>
      <x:c r="K1409" s="17"/>
      <x:c r="L1409" s="17"/>
      <x:c r="M1409" s="17"/>
      <x:c r="N1409" s="22"/>
      <x:c r="O1409" s="17"/>
    </x:row>
    <x:row r="1410">
      <x:c r="A1410" s="17"/>
      <x:c r="B1410" s="20"/>
      <x:c r="C1410" s="21"/>
      <x:c r="D1410" s="17"/>
      <x:c r="E1410" s="17"/>
      <x:c r="F1410" s="17"/>
      <x:c r="G1410" s="17"/>
      <x:c r="H1410" s="17"/>
      <x:c r="I1410" s="17"/>
      <x:c r="J1410" s="17"/>
      <x:c r="K1410" s="17"/>
      <x:c r="L1410" s="17"/>
      <x:c r="M1410" s="17"/>
      <x:c r="N1410" s="22"/>
      <x:c r="O1410" s="17"/>
    </x:row>
    <x:row r="1411">
      <x:c r="A1411" s="17"/>
      <x:c r="B1411" s="20"/>
      <x:c r="C1411" s="21"/>
      <x:c r="D1411" s="17"/>
      <x:c r="E1411" s="17"/>
      <x:c r="F1411" s="17"/>
      <x:c r="G1411" s="17"/>
      <x:c r="H1411" s="17"/>
      <x:c r="I1411" s="17"/>
      <x:c r="J1411" s="17"/>
      <x:c r="K1411" s="17"/>
      <x:c r="L1411" s="17"/>
      <x:c r="M1411" s="17"/>
      <x:c r="N1411" s="22"/>
      <x:c r="O1411" s="17"/>
    </x:row>
    <x:row r="1412">
      <x:c r="A1412" s="17"/>
      <x:c r="B1412" s="20"/>
      <x:c r="C1412" s="21"/>
      <x:c r="D1412" s="17"/>
      <x:c r="E1412" s="17"/>
      <x:c r="F1412" s="17"/>
      <x:c r="G1412" s="17"/>
      <x:c r="H1412" s="17"/>
      <x:c r="I1412" s="17"/>
      <x:c r="J1412" s="17"/>
      <x:c r="K1412" s="17"/>
      <x:c r="L1412" s="17"/>
      <x:c r="M1412" s="17"/>
      <x:c r="N1412" s="22"/>
      <x:c r="O1412" s="17"/>
    </x:row>
    <x:row r="1413">
      <x:c r="A1413" s="17"/>
      <x:c r="B1413" s="20"/>
      <x:c r="C1413" s="21"/>
      <x:c r="D1413" s="17"/>
      <x:c r="E1413" s="17"/>
      <x:c r="F1413" s="17"/>
      <x:c r="G1413" s="17"/>
      <x:c r="H1413" s="17"/>
      <x:c r="I1413" s="17"/>
      <x:c r="J1413" s="17"/>
      <x:c r="K1413" s="17"/>
      <x:c r="L1413" s="17"/>
      <x:c r="M1413" s="17"/>
      <x:c r="N1413" s="22"/>
      <x:c r="O1413" s="17"/>
    </x:row>
    <x:row r="1414">
      <x:c r="A1414" s="17"/>
      <x:c r="B1414" s="20"/>
      <x:c r="C1414" s="21"/>
      <x:c r="D1414" s="17"/>
      <x:c r="E1414" s="17"/>
      <x:c r="F1414" s="17"/>
      <x:c r="G1414" s="17"/>
      <x:c r="H1414" s="17"/>
      <x:c r="I1414" s="17"/>
      <x:c r="J1414" s="17"/>
      <x:c r="K1414" s="17"/>
      <x:c r="L1414" s="17"/>
      <x:c r="M1414" s="17"/>
      <x:c r="N1414" s="22"/>
      <x:c r="O1414" s="17"/>
    </x:row>
    <x:row r="1415">
      <x:c r="A1415" s="17"/>
      <x:c r="B1415" s="20"/>
      <x:c r="C1415" s="21"/>
      <x:c r="D1415" s="17"/>
      <x:c r="E1415" s="17"/>
      <x:c r="F1415" s="17"/>
      <x:c r="G1415" s="17"/>
      <x:c r="H1415" s="17"/>
      <x:c r="I1415" s="17"/>
      <x:c r="J1415" s="17"/>
      <x:c r="K1415" s="17"/>
      <x:c r="L1415" s="17"/>
      <x:c r="M1415" s="17"/>
      <x:c r="N1415" s="22"/>
      <x:c r="O1415" s="17"/>
    </x:row>
    <x:row r="1416">
      <x:c r="A1416" s="17"/>
      <x:c r="B1416" s="20"/>
      <x:c r="C1416" s="21"/>
      <x:c r="D1416" s="17"/>
      <x:c r="E1416" s="17"/>
      <x:c r="F1416" s="17"/>
      <x:c r="G1416" s="17"/>
      <x:c r="H1416" s="17"/>
      <x:c r="I1416" s="17"/>
      <x:c r="J1416" s="17"/>
      <x:c r="K1416" s="17"/>
      <x:c r="L1416" s="17"/>
      <x:c r="M1416" s="17"/>
      <x:c r="N1416" s="22"/>
      <x:c r="O1416" s="17"/>
    </x:row>
    <x:row r="1417">
      <x:c r="A1417" s="17"/>
      <x:c r="B1417" s="20"/>
      <x:c r="C1417" s="21"/>
      <x:c r="D1417" s="17"/>
      <x:c r="E1417" s="17"/>
      <x:c r="F1417" s="17"/>
      <x:c r="G1417" s="17"/>
      <x:c r="H1417" s="17"/>
      <x:c r="I1417" s="17"/>
      <x:c r="J1417" s="17"/>
      <x:c r="K1417" s="17"/>
      <x:c r="L1417" s="17"/>
      <x:c r="M1417" s="17"/>
      <x:c r="N1417" s="22"/>
      <x:c r="O1417" s="17"/>
    </x:row>
    <x:row r="1418">
      <x:c r="A1418" s="17"/>
      <x:c r="B1418" s="20"/>
      <x:c r="C1418" s="21"/>
      <x:c r="D1418" s="17"/>
      <x:c r="E1418" s="17"/>
      <x:c r="F1418" s="17"/>
      <x:c r="G1418" s="17"/>
      <x:c r="H1418" s="17"/>
      <x:c r="I1418" s="17"/>
      <x:c r="J1418" s="17"/>
      <x:c r="K1418" s="17"/>
      <x:c r="L1418" s="17"/>
      <x:c r="M1418" s="17"/>
      <x:c r="N1418" s="22"/>
      <x:c r="O1418" s="17"/>
    </x:row>
    <x:row r="1419">
      <x:c r="A1419" s="17"/>
      <x:c r="B1419" s="20"/>
      <x:c r="C1419" s="21"/>
      <x:c r="D1419" s="17"/>
      <x:c r="E1419" s="17"/>
      <x:c r="F1419" s="17"/>
      <x:c r="G1419" s="17"/>
      <x:c r="H1419" s="17"/>
      <x:c r="I1419" s="17"/>
      <x:c r="J1419" s="17"/>
      <x:c r="K1419" s="17"/>
      <x:c r="L1419" s="17"/>
      <x:c r="M1419" s="17"/>
      <x:c r="N1419" s="22"/>
      <x:c r="O1419" s="17"/>
    </x:row>
    <x:row r="1420">
      <x:c r="A1420" s="17"/>
      <x:c r="B1420" s="20"/>
      <x:c r="C1420" s="21"/>
      <x:c r="D1420" s="17"/>
      <x:c r="E1420" s="17"/>
      <x:c r="F1420" s="17"/>
      <x:c r="G1420" s="17"/>
      <x:c r="H1420" s="17"/>
      <x:c r="I1420" s="17"/>
      <x:c r="J1420" s="17"/>
      <x:c r="K1420" s="17"/>
      <x:c r="L1420" s="17"/>
      <x:c r="M1420" s="17"/>
      <x:c r="N1420" s="22"/>
      <x:c r="O1420" s="17"/>
    </x:row>
    <x:row r="1421">
      <x:c r="A1421" s="17"/>
      <x:c r="B1421" s="20"/>
      <x:c r="C1421" s="21"/>
      <x:c r="D1421" s="17"/>
      <x:c r="E1421" s="17"/>
      <x:c r="F1421" s="17"/>
      <x:c r="G1421" s="17"/>
      <x:c r="H1421" s="17"/>
      <x:c r="I1421" s="17"/>
      <x:c r="J1421" s="17"/>
      <x:c r="K1421" s="17"/>
      <x:c r="L1421" s="17"/>
      <x:c r="M1421" s="17"/>
      <x:c r="N1421" s="22"/>
      <x:c r="O1421" s="17"/>
    </x:row>
    <x:row r="1422">
      <x:c r="A1422" s="17"/>
      <x:c r="B1422" s="20"/>
      <x:c r="C1422" s="21"/>
      <x:c r="D1422" s="17"/>
      <x:c r="E1422" s="17"/>
      <x:c r="F1422" s="17"/>
      <x:c r="G1422" s="17"/>
      <x:c r="H1422" s="17"/>
      <x:c r="I1422" s="17"/>
      <x:c r="J1422" s="17"/>
      <x:c r="K1422" s="17"/>
      <x:c r="L1422" s="17"/>
      <x:c r="M1422" s="17"/>
      <x:c r="N1422" s="22"/>
      <x:c r="O1422" s="17"/>
    </x:row>
    <x:row r="1423">
      <x:c r="A1423" s="17"/>
      <x:c r="B1423" s="20"/>
      <x:c r="C1423" s="21"/>
      <x:c r="D1423" s="17"/>
      <x:c r="E1423" s="17"/>
      <x:c r="F1423" s="17"/>
      <x:c r="G1423" s="17"/>
      <x:c r="H1423" s="17"/>
      <x:c r="I1423" s="17"/>
      <x:c r="J1423" s="17"/>
      <x:c r="K1423" s="17"/>
      <x:c r="L1423" s="17"/>
      <x:c r="M1423" s="17"/>
      <x:c r="N1423" s="22"/>
      <x:c r="O1423" s="17"/>
    </x:row>
    <x:row r="1424">
      <x:c r="A1424" s="17"/>
      <x:c r="B1424" s="20"/>
      <x:c r="C1424" s="21"/>
      <x:c r="D1424" s="17"/>
      <x:c r="E1424" s="17"/>
      <x:c r="F1424" s="17"/>
      <x:c r="G1424" s="17"/>
      <x:c r="H1424" s="17"/>
      <x:c r="I1424" s="17"/>
      <x:c r="J1424" s="17"/>
      <x:c r="K1424" s="17"/>
      <x:c r="L1424" s="17"/>
      <x:c r="M1424" s="17"/>
      <x:c r="N1424" s="22"/>
      <x:c r="O1424" s="17"/>
    </x:row>
    <x:row r="1425">
      <x:c r="A1425" s="17"/>
      <x:c r="B1425" s="20"/>
      <x:c r="C1425" s="21"/>
      <x:c r="D1425" s="17"/>
      <x:c r="E1425" s="17"/>
      <x:c r="F1425" s="17"/>
      <x:c r="G1425" s="17"/>
      <x:c r="H1425" s="17"/>
      <x:c r="I1425" s="17"/>
      <x:c r="J1425" s="17"/>
      <x:c r="K1425" s="17"/>
      <x:c r="L1425" s="17"/>
      <x:c r="M1425" s="17"/>
      <x:c r="N1425" s="22"/>
      <x:c r="O1425" s="17"/>
    </x:row>
    <x:row r="1426">
      <x:c r="A1426" s="17"/>
      <x:c r="B1426" s="20"/>
      <x:c r="C1426" s="21"/>
      <x:c r="D1426" s="17"/>
      <x:c r="E1426" s="17"/>
      <x:c r="F1426" s="17"/>
      <x:c r="G1426" s="17"/>
      <x:c r="H1426" s="17"/>
      <x:c r="I1426" s="17"/>
      <x:c r="J1426" s="17"/>
      <x:c r="K1426" s="17"/>
      <x:c r="L1426" s="17"/>
      <x:c r="M1426" s="17"/>
      <x:c r="N1426" s="22"/>
      <x:c r="O1426" s="17"/>
    </x:row>
    <x:row r="1427">
      <x:c r="A1427" s="17"/>
      <x:c r="B1427" s="20"/>
      <x:c r="C1427" s="21"/>
      <x:c r="D1427" s="17"/>
      <x:c r="E1427" s="17"/>
      <x:c r="F1427" s="17"/>
      <x:c r="G1427" s="17"/>
      <x:c r="H1427" s="17"/>
      <x:c r="I1427" s="17"/>
      <x:c r="J1427" s="17"/>
      <x:c r="K1427" s="17"/>
      <x:c r="L1427" s="17"/>
      <x:c r="M1427" s="17"/>
      <x:c r="N1427" s="22"/>
      <x:c r="O1427" s="17"/>
    </x:row>
    <x:row r="1428">
      <x:c r="A1428" s="17"/>
      <x:c r="B1428" s="20"/>
      <x:c r="C1428" s="21"/>
      <x:c r="D1428" s="17"/>
      <x:c r="E1428" s="17"/>
      <x:c r="F1428" s="17"/>
      <x:c r="G1428" s="17"/>
      <x:c r="H1428" s="17"/>
      <x:c r="I1428" s="17"/>
      <x:c r="J1428" s="17"/>
      <x:c r="K1428" s="17"/>
      <x:c r="L1428" s="17"/>
      <x:c r="M1428" s="17"/>
      <x:c r="N1428" s="22"/>
      <x:c r="O1428" s="17"/>
    </x:row>
    <x:row r="1429">
      <x:c r="A1429" s="17"/>
      <x:c r="B1429" s="20"/>
      <x:c r="C1429" s="21"/>
      <x:c r="D1429" s="17"/>
      <x:c r="E1429" s="17"/>
      <x:c r="F1429" s="17"/>
      <x:c r="G1429" s="17"/>
      <x:c r="H1429" s="17"/>
      <x:c r="I1429" s="17"/>
      <x:c r="J1429" s="17"/>
      <x:c r="K1429" s="17"/>
      <x:c r="L1429" s="17"/>
      <x:c r="M1429" s="17"/>
      <x:c r="N1429" s="22"/>
      <x:c r="O1429" s="17"/>
    </x:row>
    <x:row r="1430">
      <x:c r="A1430" s="17"/>
      <x:c r="B1430" s="20"/>
      <x:c r="C1430" s="21"/>
      <x:c r="D1430" s="17"/>
      <x:c r="E1430" s="17"/>
      <x:c r="F1430" s="17"/>
      <x:c r="G1430" s="17"/>
      <x:c r="H1430" s="17"/>
      <x:c r="I1430" s="17"/>
      <x:c r="J1430" s="17"/>
      <x:c r="K1430" s="17"/>
      <x:c r="L1430" s="17"/>
      <x:c r="M1430" s="17"/>
      <x:c r="N1430" s="22"/>
      <x:c r="O1430" s="17"/>
    </x:row>
    <x:row r="1431">
      <x:c r="A1431" s="17"/>
      <x:c r="B1431" s="20"/>
      <x:c r="C1431" s="21"/>
      <x:c r="D1431" s="17"/>
      <x:c r="E1431" s="17"/>
      <x:c r="F1431" s="17"/>
      <x:c r="G1431" s="17"/>
      <x:c r="H1431" s="17"/>
      <x:c r="I1431" s="17"/>
      <x:c r="J1431" s="17"/>
      <x:c r="K1431" s="17"/>
      <x:c r="L1431" s="17"/>
      <x:c r="M1431" s="17"/>
      <x:c r="N1431" s="22"/>
      <x:c r="O1431" s="17"/>
    </x:row>
    <x:row r="1432">
      <x:c r="A1432" s="17"/>
      <x:c r="B1432" s="20"/>
      <x:c r="C1432" s="21"/>
      <x:c r="D1432" s="17"/>
      <x:c r="E1432" s="17"/>
      <x:c r="F1432" s="17"/>
      <x:c r="G1432" s="17"/>
      <x:c r="H1432" s="17"/>
      <x:c r="I1432" s="17"/>
      <x:c r="J1432" s="17"/>
      <x:c r="K1432" s="17"/>
      <x:c r="L1432" s="17"/>
      <x:c r="M1432" s="17"/>
      <x:c r="N1432" s="22"/>
      <x:c r="O1432" s="17"/>
    </x:row>
    <x:row r="1433">
      <x:c r="A1433" s="17"/>
      <x:c r="B1433" s="20"/>
      <x:c r="C1433" s="21"/>
      <x:c r="D1433" s="17"/>
      <x:c r="E1433" s="17"/>
      <x:c r="F1433" s="17"/>
      <x:c r="G1433" s="17"/>
      <x:c r="H1433" s="17"/>
      <x:c r="I1433" s="17"/>
      <x:c r="J1433" s="17"/>
      <x:c r="K1433" s="17"/>
      <x:c r="L1433" s="17"/>
      <x:c r="M1433" s="17"/>
      <x:c r="N1433" s="22"/>
      <x:c r="O1433" s="17"/>
    </x:row>
    <x:row r="1434">
      <x:c r="A1434" s="17"/>
      <x:c r="B1434" s="20"/>
      <x:c r="C1434" s="21"/>
      <x:c r="D1434" s="17"/>
      <x:c r="E1434" s="17"/>
      <x:c r="F1434" s="17"/>
      <x:c r="G1434" s="17"/>
      <x:c r="H1434" s="17"/>
      <x:c r="I1434" s="17"/>
      <x:c r="J1434" s="17"/>
      <x:c r="K1434" s="17"/>
      <x:c r="L1434" s="17"/>
      <x:c r="M1434" s="17"/>
      <x:c r="N1434" s="22"/>
      <x:c r="O1434" s="17"/>
    </x:row>
    <x:row r="1435">
      <x:c r="A1435" s="17"/>
      <x:c r="B1435" s="20"/>
      <x:c r="C1435" s="21"/>
      <x:c r="D1435" s="17"/>
      <x:c r="E1435" s="17"/>
      <x:c r="F1435" s="17"/>
      <x:c r="G1435" s="17"/>
      <x:c r="H1435" s="17"/>
      <x:c r="I1435" s="17"/>
      <x:c r="J1435" s="17"/>
      <x:c r="K1435" s="17"/>
      <x:c r="L1435" s="17"/>
      <x:c r="M1435" s="17"/>
      <x:c r="N1435" s="22"/>
      <x:c r="O1435" s="17"/>
    </x:row>
    <x:row r="1436">
      <x:c r="A1436" s="17"/>
      <x:c r="B1436" s="20"/>
      <x:c r="C1436" s="21"/>
      <x:c r="D1436" s="17"/>
      <x:c r="E1436" s="17"/>
      <x:c r="F1436" s="17"/>
      <x:c r="G1436" s="17"/>
      <x:c r="H1436" s="17"/>
      <x:c r="I1436" s="17"/>
      <x:c r="J1436" s="17"/>
      <x:c r="K1436" s="17"/>
      <x:c r="L1436" s="17"/>
      <x:c r="M1436" s="17"/>
      <x:c r="N1436" s="22"/>
      <x:c r="O1436" s="17"/>
    </x:row>
    <x:row r="1437">
      <x:c r="A1437" s="17"/>
      <x:c r="B1437" s="20"/>
      <x:c r="C1437" s="21"/>
      <x:c r="D1437" s="17"/>
      <x:c r="E1437" s="17"/>
      <x:c r="F1437" s="17"/>
      <x:c r="G1437" s="17"/>
      <x:c r="H1437" s="17"/>
      <x:c r="I1437" s="17"/>
      <x:c r="J1437" s="17"/>
      <x:c r="K1437" s="17"/>
      <x:c r="L1437" s="17"/>
      <x:c r="M1437" s="17"/>
      <x:c r="N1437" s="22"/>
      <x:c r="O1437" s="17"/>
    </x:row>
    <x:row r="1438">
      <x:c r="A1438" s="17"/>
      <x:c r="B1438" s="20"/>
      <x:c r="C1438" s="21"/>
      <x:c r="D1438" s="17"/>
      <x:c r="E1438" s="17"/>
      <x:c r="F1438" s="17"/>
      <x:c r="G1438" s="17"/>
      <x:c r="H1438" s="17"/>
      <x:c r="I1438" s="17"/>
      <x:c r="J1438" s="17"/>
      <x:c r="K1438" s="17"/>
      <x:c r="L1438" s="17"/>
      <x:c r="M1438" s="17"/>
      <x:c r="N1438" s="22"/>
      <x:c r="O1438" s="17"/>
    </x:row>
    <x:row r="1439">
      <x:c r="A1439" s="17"/>
      <x:c r="B1439" s="20"/>
      <x:c r="C1439" s="21"/>
      <x:c r="D1439" s="17"/>
      <x:c r="E1439" s="17"/>
      <x:c r="F1439" s="17"/>
      <x:c r="G1439" s="17"/>
      <x:c r="H1439" s="17"/>
      <x:c r="I1439" s="17"/>
      <x:c r="J1439" s="17"/>
      <x:c r="K1439" s="17"/>
      <x:c r="L1439" s="17"/>
      <x:c r="M1439" s="17"/>
      <x:c r="N1439" s="22"/>
      <x:c r="O1439" s="17"/>
    </x:row>
    <x:row r="1440">
      <x:c r="A1440" s="17"/>
      <x:c r="B1440" s="20"/>
      <x:c r="C1440" s="21"/>
      <x:c r="D1440" s="17"/>
      <x:c r="E1440" s="17"/>
      <x:c r="F1440" s="17"/>
      <x:c r="G1440" s="17"/>
      <x:c r="H1440" s="17"/>
      <x:c r="I1440" s="17"/>
      <x:c r="J1440" s="17"/>
      <x:c r="K1440" s="17"/>
      <x:c r="L1440" s="17"/>
      <x:c r="M1440" s="17"/>
      <x:c r="N1440" s="22"/>
      <x:c r="O1440" s="17"/>
    </x:row>
    <x:row r="1441">
      <x:c r="A1441" s="17"/>
      <x:c r="B1441" s="20"/>
      <x:c r="C1441" s="21"/>
      <x:c r="D1441" s="17"/>
      <x:c r="E1441" s="17"/>
      <x:c r="F1441" s="17"/>
      <x:c r="G1441" s="17"/>
      <x:c r="H1441" s="17"/>
      <x:c r="I1441" s="17"/>
      <x:c r="J1441" s="17"/>
      <x:c r="K1441" s="17"/>
      <x:c r="L1441" s="17"/>
      <x:c r="M1441" s="17"/>
      <x:c r="N1441" s="22"/>
      <x:c r="O1441" s="17"/>
    </x:row>
    <x:row r="1442">
      <x:c r="A1442" s="17"/>
      <x:c r="B1442" s="20"/>
      <x:c r="C1442" s="21"/>
      <x:c r="D1442" s="17"/>
      <x:c r="E1442" s="17"/>
      <x:c r="F1442" s="17"/>
      <x:c r="G1442" s="17"/>
      <x:c r="H1442" s="17"/>
      <x:c r="I1442" s="17"/>
      <x:c r="J1442" s="17"/>
      <x:c r="K1442" s="17"/>
      <x:c r="L1442" s="17"/>
      <x:c r="M1442" s="17"/>
      <x:c r="N1442" s="22"/>
      <x:c r="O1442" s="17"/>
    </x:row>
    <x:row r="1443">
      <x:c r="A1443" s="17"/>
      <x:c r="B1443" s="20"/>
      <x:c r="C1443" s="21"/>
      <x:c r="D1443" s="17"/>
      <x:c r="E1443" s="17"/>
      <x:c r="F1443" s="17"/>
      <x:c r="G1443" s="17"/>
      <x:c r="H1443" s="17"/>
      <x:c r="I1443" s="17"/>
      <x:c r="J1443" s="17"/>
      <x:c r="K1443" s="17"/>
      <x:c r="L1443" s="17"/>
      <x:c r="M1443" s="17"/>
      <x:c r="N1443" s="22"/>
      <x:c r="O1443" s="17"/>
    </x:row>
    <x:row r="1444">
      <x:c r="A1444" s="17"/>
      <x:c r="B1444" s="20"/>
      <x:c r="C1444" s="21"/>
      <x:c r="D1444" s="17"/>
      <x:c r="E1444" s="17"/>
      <x:c r="F1444" s="17"/>
      <x:c r="G1444" s="17"/>
      <x:c r="H1444" s="17"/>
      <x:c r="I1444" s="17"/>
      <x:c r="J1444" s="17"/>
      <x:c r="K1444" s="17"/>
      <x:c r="L1444" s="17"/>
      <x:c r="M1444" s="17"/>
      <x:c r="N1444" s="22"/>
      <x:c r="O1444" s="17"/>
    </x:row>
    <x:row r="1445">
      <x:c r="A1445" s="17"/>
      <x:c r="B1445" s="20"/>
      <x:c r="C1445" s="21"/>
      <x:c r="D1445" s="17"/>
      <x:c r="E1445" s="17"/>
      <x:c r="F1445" s="17"/>
      <x:c r="G1445" s="17"/>
      <x:c r="H1445" s="17"/>
      <x:c r="I1445" s="17"/>
      <x:c r="J1445" s="17"/>
      <x:c r="K1445" s="17"/>
      <x:c r="L1445" s="17"/>
      <x:c r="M1445" s="17"/>
      <x:c r="N1445" s="22"/>
      <x:c r="O1445" s="17"/>
    </x:row>
    <x:row r="1446">
      <x:c r="A1446" s="17"/>
      <x:c r="B1446" s="20"/>
      <x:c r="C1446" s="21"/>
      <x:c r="D1446" s="17"/>
      <x:c r="E1446" s="17"/>
      <x:c r="F1446" s="17"/>
      <x:c r="G1446" s="17"/>
      <x:c r="H1446" s="17"/>
      <x:c r="I1446" s="17"/>
      <x:c r="J1446" s="17"/>
      <x:c r="K1446" s="17"/>
      <x:c r="L1446" s="17"/>
      <x:c r="M1446" s="17"/>
      <x:c r="N1446" s="22"/>
      <x:c r="O1446" s="17"/>
    </x:row>
    <x:row r="1447">
      <x:c r="A1447" s="17"/>
      <x:c r="B1447" s="20"/>
      <x:c r="C1447" s="21"/>
      <x:c r="D1447" s="17"/>
      <x:c r="E1447" s="17"/>
      <x:c r="F1447" s="17"/>
      <x:c r="G1447" s="17"/>
      <x:c r="H1447" s="17"/>
      <x:c r="I1447" s="17"/>
      <x:c r="J1447" s="17"/>
      <x:c r="K1447" s="17"/>
      <x:c r="L1447" s="17"/>
      <x:c r="M1447" s="17"/>
      <x:c r="N1447" s="22"/>
      <x:c r="O1447" s="17"/>
    </x:row>
    <x:row r="1448">
      <x:c r="A1448" s="17"/>
      <x:c r="B1448" s="20"/>
      <x:c r="C1448" s="21"/>
      <x:c r="D1448" s="17"/>
      <x:c r="E1448" s="17"/>
      <x:c r="F1448" s="17"/>
      <x:c r="G1448" s="17"/>
      <x:c r="H1448" s="17"/>
      <x:c r="I1448" s="17"/>
      <x:c r="J1448" s="17"/>
      <x:c r="K1448" s="17"/>
      <x:c r="L1448" s="17"/>
      <x:c r="M1448" s="17"/>
      <x:c r="N1448" s="22"/>
      <x:c r="O1448" s="17"/>
    </x:row>
    <x:row r="1449">
      <x:c r="A1449" s="17"/>
      <x:c r="B1449" s="20"/>
      <x:c r="C1449" s="21"/>
      <x:c r="D1449" s="17"/>
      <x:c r="E1449" s="17"/>
      <x:c r="F1449" s="17"/>
      <x:c r="G1449" s="17"/>
      <x:c r="H1449" s="17"/>
      <x:c r="I1449" s="17"/>
      <x:c r="J1449" s="17"/>
      <x:c r="K1449" s="17"/>
      <x:c r="L1449" s="17"/>
      <x:c r="M1449" s="17"/>
      <x:c r="N1449" s="22"/>
      <x:c r="O1449" s="17"/>
    </x:row>
    <x:row r="1450">
      <x:c r="A1450" s="17"/>
      <x:c r="B1450" s="20"/>
      <x:c r="C1450" s="21"/>
      <x:c r="D1450" s="17"/>
      <x:c r="E1450" s="17"/>
      <x:c r="F1450" s="17"/>
      <x:c r="G1450" s="17"/>
      <x:c r="H1450" s="17"/>
      <x:c r="I1450" s="17"/>
      <x:c r="J1450" s="17"/>
      <x:c r="K1450" s="17"/>
      <x:c r="L1450" s="17"/>
      <x:c r="M1450" s="17"/>
      <x:c r="N1450" s="22"/>
      <x:c r="O1450" s="17"/>
    </x:row>
    <x:row r="1451">
      <x:c r="A1451" s="17"/>
      <x:c r="B1451" s="20"/>
      <x:c r="C1451" s="21"/>
      <x:c r="D1451" s="17"/>
      <x:c r="E1451" s="17"/>
      <x:c r="F1451" s="17"/>
      <x:c r="G1451" s="17"/>
      <x:c r="H1451" s="17"/>
      <x:c r="I1451" s="17"/>
      <x:c r="J1451" s="17"/>
      <x:c r="K1451" s="17"/>
      <x:c r="L1451" s="17"/>
      <x:c r="M1451" s="17"/>
      <x:c r="N1451" s="22"/>
      <x:c r="O1451" s="17"/>
    </x:row>
    <x:row r="1452">
      <x:c r="A1452" s="17"/>
      <x:c r="B1452" s="20"/>
      <x:c r="C1452" s="21"/>
      <x:c r="D1452" s="17"/>
      <x:c r="E1452" s="17"/>
      <x:c r="F1452" s="17"/>
      <x:c r="G1452" s="17"/>
      <x:c r="H1452" s="17"/>
      <x:c r="I1452" s="17"/>
      <x:c r="J1452" s="17"/>
      <x:c r="K1452" s="17"/>
      <x:c r="L1452" s="17"/>
      <x:c r="M1452" s="17"/>
      <x:c r="N1452" s="22"/>
      <x:c r="O1452" s="17"/>
    </x:row>
    <x:row r="1453">
      <x:c r="A1453" s="17"/>
      <x:c r="B1453" s="20"/>
      <x:c r="C1453" s="21"/>
      <x:c r="D1453" s="17"/>
      <x:c r="E1453" s="17"/>
      <x:c r="F1453" s="17"/>
      <x:c r="G1453" s="17"/>
      <x:c r="H1453" s="17"/>
      <x:c r="I1453" s="17"/>
      <x:c r="J1453" s="17"/>
      <x:c r="K1453" s="17"/>
      <x:c r="L1453" s="17"/>
      <x:c r="M1453" s="17"/>
      <x:c r="N1453" s="22"/>
      <x:c r="O1453" s="17"/>
    </x:row>
    <x:row r="1454">
      <x:c r="A1454" s="17"/>
      <x:c r="B1454" s="20"/>
      <x:c r="C1454" s="21"/>
      <x:c r="D1454" s="17"/>
      <x:c r="E1454" s="17"/>
      <x:c r="F1454" s="17"/>
      <x:c r="G1454" s="17"/>
      <x:c r="H1454" s="17"/>
      <x:c r="I1454" s="17"/>
      <x:c r="J1454" s="17"/>
      <x:c r="K1454" s="17"/>
      <x:c r="L1454" s="17"/>
      <x:c r="M1454" s="17"/>
      <x:c r="N1454" s="22"/>
      <x:c r="O1454" s="17"/>
    </x:row>
    <x:row r="1455">
      <x:c r="A1455" s="17"/>
      <x:c r="B1455" s="20"/>
      <x:c r="C1455" s="21"/>
      <x:c r="D1455" s="17"/>
      <x:c r="E1455" s="17"/>
      <x:c r="F1455" s="17"/>
      <x:c r="G1455" s="17"/>
      <x:c r="H1455" s="17"/>
      <x:c r="I1455" s="17"/>
      <x:c r="J1455" s="17"/>
      <x:c r="K1455" s="17"/>
      <x:c r="L1455" s="17"/>
      <x:c r="M1455" s="17"/>
      <x:c r="N1455" s="22"/>
      <x:c r="O1455" s="17"/>
    </x:row>
    <x:row r="1456">
      <x:c r="A1456" s="17"/>
      <x:c r="B1456" s="20"/>
      <x:c r="C1456" s="21"/>
      <x:c r="D1456" s="17"/>
      <x:c r="E1456" s="17"/>
      <x:c r="F1456" s="17"/>
      <x:c r="G1456" s="17"/>
      <x:c r="H1456" s="17"/>
      <x:c r="I1456" s="17"/>
      <x:c r="J1456" s="17"/>
      <x:c r="K1456" s="17"/>
      <x:c r="L1456" s="17"/>
      <x:c r="M1456" s="17"/>
      <x:c r="N1456" s="22"/>
      <x:c r="O1456" s="17"/>
    </x:row>
    <x:row r="1457">
      <x:c r="A1457" s="17"/>
      <x:c r="B1457" s="20"/>
      <x:c r="C1457" s="21"/>
      <x:c r="D1457" s="17"/>
      <x:c r="E1457" s="17"/>
      <x:c r="F1457" s="17"/>
      <x:c r="G1457" s="17"/>
      <x:c r="H1457" s="17"/>
      <x:c r="I1457" s="17"/>
      <x:c r="J1457" s="17"/>
      <x:c r="K1457" s="17"/>
      <x:c r="L1457" s="17"/>
      <x:c r="M1457" s="17"/>
      <x:c r="N1457" s="22"/>
      <x:c r="O1457" s="17"/>
    </x:row>
    <x:row r="1458">
      <x:c r="A1458" s="17"/>
      <x:c r="B1458" s="20"/>
      <x:c r="C1458" s="21"/>
      <x:c r="D1458" s="17"/>
      <x:c r="E1458" s="17"/>
      <x:c r="F1458" s="17"/>
      <x:c r="G1458" s="17"/>
      <x:c r="H1458" s="17"/>
      <x:c r="I1458" s="17"/>
      <x:c r="J1458" s="17"/>
      <x:c r="K1458" s="17"/>
      <x:c r="L1458" s="17"/>
      <x:c r="M1458" s="17"/>
      <x:c r="N1458" s="22"/>
      <x:c r="O1458" s="17"/>
    </x:row>
    <x:row r="1459">
      <x:c r="A1459" s="17"/>
      <x:c r="B1459" s="20"/>
      <x:c r="C1459" s="21"/>
      <x:c r="D1459" s="17"/>
      <x:c r="E1459" s="17"/>
      <x:c r="F1459" s="17"/>
      <x:c r="G1459" s="17"/>
      <x:c r="H1459" s="17"/>
      <x:c r="I1459" s="17"/>
      <x:c r="J1459" s="17"/>
      <x:c r="K1459" s="17"/>
      <x:c r="L1459" s="17"/>
      <x:c r="M1459" s="17"/>
      <x:c r="N1459" s="22"/>
      <x:c r="O1459" s="17"/>
    </x:row>
    <x:row r="1460">
      <x:c r="A1460" s="17"/>
      <x:c r="B1460" s="20"/>
      <x:c r="C1460" s="21"/>
      <x:c r="D1460" s="17"/>
      <x:c r="E1460" s="17"/>
      <x:c r="F1460" s="17"/>
      <x:c r="G1460" s="17"/>
      <x:c r="H1460" s="17"/>
      <x:c r="I1460" s="17"/>
      <x:c r="J1460" s="17"/>
      <x:c r="K1460" s="17"/>
      <x:c r="L1460" s="17"/>
      <x:c r="M1460" s="17"/>
      <x:c r="N1460" s="22"/>
      <x:c r="O1460" s="17"/>
    </x:row>
    <x:row r="1461">
      <x:c r="A1461" s="17"/>
      <x:c r="B1461" s="20"/>
      <x:c r="C1461" s="21"/>
      <x:c r="D1461" s="17"/>
      <x:c r="E1461" s="17"/>
      <x:c r="F1461" s="17"/>
      <x:c r="G1461" s="17"/>
      <x:c r="H1461" s="17"/>
      <x:c r="I1461" s="17"/>
      <x:c r="J1461" s="17"/>
      <x:c r="K1461" s="17"/>
      <x:c r="L1461" s="17"/>
      <x:c r="M1461" s="17"/>
      <x:c r="N1461" s="22"/>
      <x:c r="O1461" s="17"/>
    </x:row>
    <x:row r="1462">
      <x:c r="A1462" s="17"/>
      <x:c r="B1462" s="20"/>
      <x:c r="C1462" s="21"/>
      <x:c r="D1462" s="17"/>
      <x:c r="E1462" s="17"/>
      <x:c r="F1462" s="17"/>
      <x:c r="G1462" s="17"/>
      <x:c r="H1462" s="17"/>
      <x:c r="I1462" s="17"/>
      <x:c r="J1462" s="17"/>
      <x:c r="K1462" s="17"/>
      <x:c r="L1462" s="17"/>
      <x:c r="M1462" s="17"/>
      <x:c r="N1462" s="22"/>
      <x:c r="O1462" s="17"/>
    </x:row>
    <x:row r="1463">
      <x:c r="A1463" s="17"/>
      <x:c r="B1463" s="20"/>
      <x:c r="C1463" s="21"/>
      <x:c r="D1463" s="17"/>
      <x:c r="E1463" s="17"/>
      <x:c r="F1463" s="17"/>
      <x:c r="G1463" s="17"/>
      <x:c r="H1463" s="17"/>
      <x:c r="I1463" s="17"/>
      <x:c r="J1463" s="17"/>
      <x:c r="K1463" s="17"/>
      <x:c r="L1463" s="17"/>
      <x:c r="M1463" s="17"/>
      <x:c r="N1463" s="22"/>
      <x:c r="O1463" s="17"/>
    </x:row>
    <x:row r="1464">
      <x:c r="A1464" s="17"/>
      <x:c r="B1464" s="20"/>
      <x:c r="C1464" s="21"/>
      <x:c r="D1464" s="17"/>
      <x:c r="E1464" s="17"/>
      <x:c r="F1464" s="17"/>
      <x:c r="G1464" s="17"/>
      <x:c r="H1464" s="17"/>
      <x:c r="I1464" s="17"/>
      <x:c r="J1464" s="17"/>
      <x:c r="K1464" s="17"/>
      <x:c r="L1464" s="17"/>
      <x:c r="M1464" s="17"/>
      <x:c r="N1464" s="22"/>
      <x:c r="O1464" s="17"/>
    </x:row>
    <x:row r="1465">
      <x:c r="A1465" s="17"/>
      <x:c r="B1465" s="20"/>
      <x:c r="C1465" s="21"/>
      <x:c r="D1465" s="17"/>
      <x:c r="E1465" s="17"/>
      <x:c r="F1465" s="17"/>
      <x:c r="G1465" s="17"/>
      <x:c r="H1465" s="17"/>
      <x:c r="I1465" s="17"/>
      <x:c r="J1465" s="17"/>
      <x:c r="K1465" s="17"/>
      <x:c r="L1465" s="17"/>
      <x:c r="M1465" s="17"/>
      <x:c r="N1465" s="22"/>
      <x:c r="O1465" s="17"/>
    </x:row>
    <x:row r="1466">
      <x:c r="A1466" s="17"/>
      <x:c r="B1466" s="20"/>
      <x:c r="C1466" s="21"/>
      <x:c r="D1466" s="17"/>
      <x:c r="E1466" s="17"/>
      <x:c r="F1466" s="17"/>
      <x:c r="G1466" s="17"/>
      <x:c r="H1466" s="17"/>
      <x:c r="I1466" s="17"/>
      <x:c r="J1466" s="17"/>
      <x:c r="K1466" s="17"/>
      <x:c r="L1466" s="17"/>
      <x:c r="M1466" s="17"/>
      <x:c r="N1466" s="22"/>
      <x:c r="O1466" s="17"/>
    </x:row>
    <x:row r="1467">
      <x:c r="A1467" s="17"/>
      <x:c r="B1467" s="20"/>
      <x:c r="C1467" s="21"/>
      <x:c r="D1467" s="17"/>
      <x:c r="E1467" s="17"/>
      <x:c r="F1467" s="17"/>
      <x:c r="G1467" s="17"/>
      <x:c r="H1467" s="17"/>
      <x:c r="I1467" s="17"/>
      <x:c r="J1467" s="17"/>
      <x:c r="K1467" s="17"/>
      <x:c r="L1467" s="17"/>
      <x:c r="M1467" s="17"/>
      <x:c r="N1467" s="22"/>
      <x:c r="O1467" s="17"/>
    </x:row>
    <x:row r="1468">
      <x:c r="A1468" s="17"/>
      <x:c r="B1468" s="20"/>
      <x:c r="C1468" s="21"/>
      <x:c r="D1468" s="17"/>
      <x:c r="E1468" s="17"/>
      <x:c r="F1468" s="17"/>
      <x:c r="G1468" s="17"/>
      <x:c r="H1468" s="17"/>
      <x:c r="I1468" s="17"/>
      <x:c r="J1468" s="17"/>
      <x:c r="K1468" s="17"/>
      <x:c r="L1468" s="17"/>
      <x:c r="M1468" s="17"/>
      <x:c r="N1468" s="22"/>
      <x:c r="O1468" s="17"/>
    </x:row>
    <x:row r="1469">
      <x:c r="A1469" s="17"/>
      <x:c r="B1469" s="20"/>
      <x:c r="C1469" s="21"/>
      <x:c r="D1469" s="17"/>
      <x:c r="E1469" s="17"/>
      <x:c r="F1469" s="17"/>
      <x:c r="G1469" s="17"/>
      <x:c r="H1469" s="17"/>
      <x:c r="I1469" s="17"/>
      <x:c r="J1469" s="17"/>
      <x:c r="K1469" s="17"/>
      <x:c r="L1469" s="17"/>
      <x:c r="M1469" s="17"/>
      <x:c r="N1469" s="22"/>
      <x:c r="O1469" s="17"/>
    </x:row>
    <x:row r="1470">
      <x:c r="A1470" s="17"/>
      <x:c r="B1470" s="20"/>
      <x:c r="C1470" s="21"/>
      <x:c r="D1470" s="17"/>
      <x:c r="E1470" s="17"/>
      <x:c r="F1470" s="17"/>
      <x:c r="G1470" s="17"/>
      <x:c r="H1470" s="17"/>
      <x:c r="I1470" s="17"/>
      <x:c r="J1470" s="17"/>
      <x:c r="K1470" s="17"/>
      <x:c r="L1470" s="17"/>
      <x:c r="M1470" s="17"/>
      <x:c r="N1470" s="22"/>
      <x:c r="O1470" s="17"/>
    </x:row>
    <x:row r="1471">
      <x:c r="A1471" s="17"/>
      <x:c r="B1471" s="20"/>
      <x:c r="C1471" s="21"/>
      <x:c r="D1471" s="17"/>
      <x:c r="E1471" s="17"/>
      <x:c r="F1471" s="17"/>
      <x:c r="G1471" s="17"/>
      <x:c r="H1471" s="17"/>
      <x:c r="I1471" s="17"/>
      <x:c r="J1471" s="17"/>
      <x:c r="K1471" s="17"/>
      <x:c r="L1471" s="17"/>
      <x:c r="M1471" s="17"/>
      <x:c r="N1471" s="22"/>
      <x:c r="O1471" s="17"/>
    </x:row>
    <x:row r="1472">
      <x:c r="A1472" s="17"/>
      <x:c r="B1472" s="20"/>
      <x:c r="C1472" s="21"/>
      <x:c r="D1472" s="17"/>
      <x:c r="E1472" s="17"/>
      <x:c r="F1472" s="17"/>
      <x:c r="G1472" s="17"/>
      <x:c r="H1472" s="17"/>
      <x:c r="I1472" s="17"/>
      <x:c r="J1472" s="17"/>
      <x:c r="K1472" s="17"/>
      <x:c r="L1472" s="17"/>
      <x:c r="M1472" s="17"/>
      <x:c r="N1472" s="22"/>
      <x:c r="O1472" s="17"/>
    </x:row>
    <x:row r="1473">
      <x:c r="A1473" s="17"/>
      <x:c r="B1473" s="20"/>
      <x:c r="C1473" s="21"/>
      <x:c r="D1473" s="17"/>
      <x:c r="E1473" s="17"/>
      <x:c r="F1473" s="17"/>
      <x:c r="G1473" s="17"/>
      <x:c r="H1473" s="17"/>
      <x:c r="I1473" s="17"/>
      <x:c r="J1473" s="17"/>
      <x:c r="K1473" s="17"/>
      <x:c r="L1473" s="17"/>
      <x:c r="M1473" s="17"/>
      <x:c r="N1473" s="22"/>
      <x:c r="O1473" s="17"/>
    </x:row>
    <x:row r="1474">
      <x:c r="A1474" s="17"/>
      <x:c r="B1474" s="20"/>
      <x:c r="C1474" s="21"/>
      <x:c r="D1474" s="17"/>
      <x:c r="E1474" s="17"/>
      <x:c r="F1474" s="17"/>
      <x:c r="G1474" s="17"/>
      <x:c r="H1474" s="17"/>
      <x:c r="I1474" s="17"/>
      <x:c r="J1474" s="17"/>
      <x:c r="K1474" s="17"/>
      <x:c r="L1474" s="17"/>
      <x:c r="M1474" s="17"/>
      <x:c r="N1474" s="22"/>
      <x:c r="O1474" s="17"/>
    </x:row>
    <x:row r="1475">
      <x:c r="A1475" s="17"/>
      <x:c r="B1475" s="20"/>
      <x:c r="C1475" s="21"/>
      <x:c r="D1475" s="17"/>
      <x:c r="E1475" s="17"/>
      <x:c r="F1475" s="17"/>
      <x:c r="G1475" s="17"/>
      <x:c r="H1475" s="17"/>
      <x:c r="I1475" s="17"/>
      <x:c r="J1475" s="17"/>
      <x:c r="K1475" s="17"/>
      <x:c r="L1475" s="17"/>
      <x:c r="M1475" s="17"/>
      <x:c r="N1475" s="22"/>
      <x:c r="O1475" s="17"/>
    </x:row>
    <x:row r="1476">
      <x:c r="A1476" s="17"/>
      <x:c r="B1476" s="20"/>
      <x:c r="C1476" s="21"/>
      <x:c r="D1476" s="17"/>
      <x:c r="E1476" s="17"/>
      <x:c r="F1476" s="17"/>
      <x:c r="G1476" s="17"/>
      <x:c r="H1476" s="17"/>
      <x:c r="I1476" s="17"/>
      <x:c r="J1476" s="17"/>
      <x:c r="K1476" s="17"/>
      <x:c r="L1476" s="17"/>
      <x:c r="M1476" s="17"/>
      <x:c r="N1476" s="22"/>
      <x:c r="O1476" s="17"/>
    </x:row>
    <x:row r="1477">
      <x:c r="A1477" s="17"/>
      <x:c r="B1477" s="20"/>
      <x:c r="C1477" s="21"/>
      <x:c r="D1477" s="17"/>
      <x:c r="E1477" s="17"/>
      <x:c r="F1477" s="17"/>
      <x:c r="G1477" s="17"/>
      <x:c r="H1477" s="17"/>
      <x:c r="I1477" s="17"/>
      <x:c r="J1477" s="17"/>
      <x:c r="K1477" s="17"/>
      <x:c r="L1477" s="17"/>
      <x:c r="M1477" s="17"/>
      <x:c r="N1477" s="22"/>
      <x:c r="O1477" s="17"/>
    </x:row>
    <x:row r="1478">
      <x:c r="A1478" s="17"/>
      <x:c r="B1478" s="20"/>
      <x:c r="C1478" s="21"/>
      <x:c r="D1478" s="17"/>
      <x:c r="E1478" s="17"/>
      <x:c r="F1478" s="17"/>
      <x:c r="G1478" s="17"/>
      <x:c r="H1478" s="17"/>
      <x:c r="I1478" s="17"/>
      <x:c r="J1478" s="17"/>
      <x:c r="K1478" s="17"/>
      <x:c r="L1478" s="17"/>
      <x:c r="M1478" s="17"/>
      <x:c r="N1478" s="22"/>
      <x:c r="O1478" s="17"/>
    </x:row>
    <x:row r="1479">
      <x:c r="A1479" s="17"/>
      <x:c r="B1479" s="20"/>
      <x:c r="C1479" s="21"/>
      <x:c r="D1479" s="17"/>
      <x:c r="E1479" s="17"/>
      <x:c r="F1479" s="17"/>
      <x:c r="G1479" s="17"/>
      <x:c r="H1479" s="17"/>
      <x:c r="I1479" s="17"/>
      <x:c r="J1479" s="17"/>
      <x:c r="K1479" s="17"/>
      <x:c r="L1479" s="17"/>
      <x:c r="M1479" s="17"/>
      <x:c r="N1479" s="22"/>
      <x:c r="O1479" s="17"/>
    </x:row>
    <x:row r="1480">
      <x:c r="A1480" s="17"/>
      <x:c r="B1480" s="20"/>
      <x:c r="C1480" s="21"/>
      <x:c r="D1480" s="17"/>
      <x:c r="E1480" s="17"/>
      <x:c r="F1480" s="17"/>
      <x:c r="G1480" s="17"/>
      <x:c r="H1480" s="17"/>
      <x:c r="I1480" s="17"/>
      <x:c r="J1480" s="17"/>
      <x:c r="K1480" s="17"/>
      <x:c r="L1480" s="17"/>
      <x:c r="M1480" s="17"/>
      <x:c r="N1480" s="22"/>
      <x:c r="O1480" s="17"/>
    </x:row>
    <x:row r="1481">
      <x:c r="A1481" s="17"/>
      <x:c r="B1481" s="20"/>
      <x:c r="C1481" s="21"/>
      <x:c r="D1481" s="17"/>
      <x:c r="E1481" s="17"/>
      <x:c r="F1481" s="17"/>
      <x:c r="G1481" s="17"/>
      <x:c r="H1481" s="17"/>
      <x:c r="I1481" s="17"/>
      <x:c r="J1481" s="17"/>
      <x:c r="K1481" s="17"/>
      <x:c r="L1481" s="17"/>
      <x:c r="M1481" s="17"/>
      <x:c r="N1481" s="22"/>
      <x:c r="O1481" s="17"/>
    </x:row>
    <x:row r="1482">
      <x:c r="A1482" s="17"/>
      <x:c r="B1482" s="20"/>
      <x:c r="C1482" s="21"/>
      <x:c r="D1482" s="17"/>
      <x:c r="E1482" s="17"/>
      <x:c r="F1482" s="17"/>
      <x:c r="G1482" s="17"/>
      <x:c r="H1482" s="17"/>
      <x:c r="I1482" s="17"/>
      <x:c r="J1482" s="17"/>
      <x:c r="K1482" s="17"/>
      <x:c r="L1482" s="17"/>
      <x:c r="M1482" s="17"/>
      <x:c r="N1482" s="22"/>
      <x:c r="O1482" s="17"/>
    </x:row>
    <x:row r="1483">
      <x:c r="A1483" s="17"/>
      <x:c r="B1483" s="20"/>
      <x:c r="C1483" s="21"/>
      <x:c r="D1483" s="17"/>
      <x:c r="E1483" s="17"/>
      <x:c r="F1483" s="17"/>
      <x:c r="G1483" s="17"/>
      <x:c r="H1483" s="17"/>
      <x:c r="I1483" s="17"/>
      <x:c r="J1483" s="17"/>
      <x:c r="K1483" s="17"/>
      <x:c r="L1483" s="17"/>
      <x:c r="M1483" s="17"/>
      <x:c r="N1483" s="22"/>
      <x:c r="O1483" s="17"/>
    </x:row>
    <x:row r="1484">
      <x:c r="A1484" s="17"/>
      <x:c r="B1484" s="20"/>
      <x:c r="C1484" s="21"/>
      <x:c r="D1484" s="17"/>
      <x:c r="E1484" s="17"/>
      <x:c r="F1484" s="17"/>
      <x:c r="G1484" s="17"/>
      <x:c r="H1484" s="17"/>
      <x:c r="I1484" s="17"/>
      <x:c r="J1484" s="17"/>
      <x:c r="K1484" s="17"/>
      <x:c r="L1484" s="17"/>
      <x:c r="M1484" s="17"/>
      <x:c r="N1484" s="22"/>
      <x:c r="O1484" s="17"/>
    </x:row>
    <x:row r="1485">
      <x:c r="A1485" s="17"/>
      <x:c r="B1485" s="20"/>
      <x:c r="C1485" s="21"/>
      <x:c r="D1485" s="17"/>
      <x:c r="E1485" s="17"/>
      <x:c r="F1485" s="17"/>
      <x:c r="G1485" s="17"/>
      <x:c r="H1485" s="17"/>
      <x:c r="I1485" s="17"/>
      <x:c r="J1485" s="17"/>
      <x:c r="K1485" s="17"/>
      <x:c r="L1485" s="17"/>
      <x:c r="M1485" s="17"/>
      <x:c r="N1485" s="22"/>
      <x:c r="O1485" s="17"/>
    </x:row>
    <x:row r="1486">
      <x:c r="A1486" s="17"/>
      <x:c r="B1486" s="20"/>
      <x:c r="C1486" s="21"/>
      <x:c r="D1486" s="17"/>
      <x:c r="E1486" s="17"/>
      <x:c r="F1486" s="17"/>
      <x:c r="G1486" s="17"/>
      <x:c r="H1486" s="17"/>
      <x:c r="I1486" s="17"/>
      <x:c r="J1486" s="17"/>
      <x:c r="K1486" s="17"/>
      <x:c r="L1486" s="17"/>
      <x:c r="M1486" s="17"/>
      <x:c r="N1486" s="22"/>
      <x:c r="O1486" s="17"/>
    </x:row>
    <x:row r="1487">
      <x:c r="A1487" s="17"/>
      <x:c r="B1487" s="20"/>
      <x:c r="C1487" s="21"/>
      <x:c r="D1487" s="17"/>
      <x:c r="E1487" s="17"/>
      <x:c r="F1487" s="17"/>
      <x:c r="G1487" s="17"/>
      <x:c r="H1487" s="17"/>
      <x:c r="I1487" s="17"/>
      <x:c r="J1487" s="17"/>
      <x:c r="K1487" s="17"/>
      <x:c r="L1487" s="17"/>
      <x:c r="M1487" s="17"/>
      <x:c r="N1487" s="22"/>
      <x:c r="O1487" s="17"/>
    </x:row>
    <x:row r="1488">
      <x:c r="A1488" s="17"/>
      <x:c r="B1488" s="20"/>
      <x:c r="C1488" s="21"/>
      <x:c r="D1488" s="17"/>
      <x:c r="E1488" s="17"/>
      <x:c r="F1488" s="17"/>
      <x:c r="G1488" s="17"/>
      <x:c r="H1488" s="17"/>
      <x:c r="I1488" s="17"/>
      <x:c r="J1488" s="17"/>
      <x:c r="K1488" s="17"/>
      <x:c r="L1488" s="17"/>
      <x:c r="M1488" s="17"/>
      <x:c r="N1488" s="22"/>
      <x:c r="O1488" s="17"/>
    </x:row>
    <x:row r="1489">
      <x:c r="A1489" s="17"/>
      <x:c r="B1489" s="20"/>
      <x:c r="C1489" s="21"/>
      <x:c r="D1489" s="17"/>
      <x:c r="E1489" s="17"/>
      <x:c r="F1489" s="17"/>
      <x:c r="G1489" s="17"/>
      <x:c r="H1489" s="17"/>
      <x:c r="I1489" s="17"/>
      <x:c r="J1489" s="17"/>
      <x:c r="K1489" s="17"/>
      <x:c r="L1489" s="17"/>
      <x:c r="M1489" s="17"/>
      <x:c r="N1489" s="22"/>
      <x:c r="O1489" s="17"/>
    </x:row>
    <x:row r="1490">
      <x:c r="A1490" s="17"/>
      <x:c r="B1490" s="20"/>
      <x:c r="C1490" s="21"/>
      <x:c r="D1490" s="17"/>
      <x:c r="E1490" s="17"/>
      <x:c r="F1490" s="17"/>
      <x:c r="G1490" s="17"/>
      <x:c r="H1490" s="17"/>
      <x:c r="I1490" s="17"/>
      <x:c r="J1490" s="17"/>
      <x:c r="K1490" s="17"/>
      <x:c r="L1490" s="17"/>
      <x:c r="M1490" s="17"/>
      <x:c r="N1490" s="22"/>
      <x:c r="O1490" s="17"/>
    </x:row>
    <x:row r="1491">
      <x:c r="A1491" s="17"/>
      <x:c r="B1491" s="20"/>
      <x:c r="C1491" s="21"/>
      <x:c r="D1491" s="17"/>
      <x:c r="E1491" s="17"/>
      <x:c r="F1491" s="17"/>
      <x:c r="G1491" s="17"/>
      <x:c r="H1491" s="17"/>
      <x:c r="I1491" s="17"/>
      <x:c r="J1491" s="17"/>
      <x:c r="K1491" s="17"/>
      <x:c r="L1491" s="17"/>
      <x:c r="M1491" s="17"/>
      <x:c r="N1491" s="22"/>
      <x:c r="O1491" s="17"/>
    </x:row>
    <x:row r="1492">
      <x:c r="A1492" s="17"/>
      <x:c r="B1492" s="20"/>
      <x:c r="C1492" s="21"/>
      <x:c r="D1492" s="17"/>
      <x:c r="E1492" s="17"/>
      <x:c r="F1492" s="17"/>
      <x:c r="G1492" s="17"/>
      <x:c r="H1492" s="17"/>
      <x:c r="I1492" s="17"/>
      <x:c r="J1492" s="17"/>
      <x:c r="K1492" s="17"/>
      <x:c r="L1492" s="17"/>
      <x:c r="M1492" s="17"/>
      <x:c r="N1492" s="22"/>
      <x:c r="O1492" s="17"/>
    </x:row>
    <x:row r="1493">
      <x:c r="A1493" s="17"/>
      <x:c r="B1493" s="20"/>
      <x:c r="C1493" s="21"/>
      <x:c r="D1493" s="17"/>
      <x:c r="E1493" s="17"/>
      <x:c r="F1493" s="17"/>
      <x:c r="G1493" s="17"/>
      <x:c r="H1493" s="17"/>
      <x:c r="I1493" s="17"/>
      <x:c r="J1493" s="17"/>
      <x:c r="K1493" s="17"/>
      <x:c r="L1493" s="17"/>
      <x:c r="M1493" s="17"/>
      <x:c r="N1493" s="22"/>
      <x:c r="O1493" s="17"/>
    </x:row>
    <x:row r="1494">
      <x:c r="A1494" s="17"/>
      <x:c r="B1494" s="20"/>
      <x:c r="C1494" s="21"/>
      <x:c r="D1494" s="17"/>
      <x:c r="E1494" s="17"/>
      <x:c r="F1494" s="17"/>
      <x:c r="G1494" s="17"/>
      <x:c r="H1494" s="17"/>
      <x:c r="I1494" s="17"/>
      <x:c r="J1494" s="17"/>
      <x:c r="K1494" s="17"/>
      <x:c r="L1494" s="17"/>
      <x:c r="M1494" s="17"/>
      <x:c r="N1494" s="22"/>
      <x:c r="O1494" s="17"/>
    </x:row>
    <x:row r="1495">
      <x:c r="A1495" s="17"/>
      <x:c r="B1495" s="20"/>
      <x:c r="C1495" s="21"/>
      <x:c r="D1495" s="17"/>
      <x:c r="E1495" s="17"/>
      <x:c r="F1495" s="17"/>
      <x:c r="G1495" s="17"/>
      <x:c r="H1495" s="17"/>
      <x:c r="I1495" s="17"/>
      <x:c r="J1495" s="17"/>
      <x:c r="K1495" s="17"/>
      <x:c r="L1495" s="17"/>
      <x:c r="M1495" s="17"/>
      <x:c r="N1495" s="22"/>
      <x:c r="O1495" s="17"/>
    </x:row>
    <x:row r="1496">
      <x:c r="A1496" s="17"/>
      <x:c r="B1496" s="20"/>
      <x:c r="C1496" s="21"/>
      <x:c r="D1496" s="17"/>
      <x:c r="E1496" s="17"/>
      <x:c r="F1496" s="17"/>
      <x:c r="G1496" s="17"/>
      <x:c r="H1496" s="17"/>
      <x:c r="I1496" s="17"/>
      <x:c r="J1496" s="17"/>
      <x:c r="K1496" s="17"/>
      <x:c r="L1496" s="17"/>
      <x:c r="M1496" s="17"/>
      <x:c r="N1496" s="22"/>
      <x:c r="O1496" s="17"/>
    </x:row>
    <x:row r="1497">
      <x:c r="A1497" s="17"/>
      <x:c r="B1497" s="20"/>
      <x:c r="C1497" s="21"/>
      <x:c r="D1497" s="17"/>
      <x:c r="E1497" s="17"/>
      <x:c r="F1497" s="17"/>
      <x:c r="G1497" s="17"/>
      <x:c r="H1497" s="17"/>
      <x:c r="I1497" s="17"/>
      <x:c r="J1497" s="17"/>
      <x:c r="K1497" s="17"/>
      <x:c r="L1497" s="17"/>
      <x:c r="M1497" s="17"/>
      <x:c r="N1497" s="22"/>
      <x:c r="O1497" s="17"/>
    </x:row>
    <x:row r="1498">
      <x:c r="A1498" s="17"/>
      <x:c r="B1498" s="20"/>
      <x:c r="C1498" s="21"/>
      <x:c r="D1498" s="17"/>
      <x:c r="E1498" s="17"/>
      <x:c r="F1498" s="17"/>
      <x:c r="G1498" s="17"/>
      <x:c r="H1498" s="17"/>
      <x:c r="I1498" s="17"/>
      <x:c r="J1498" s="17"/>
      <x:c r="K1498" s="17"/>
      <x:c r="L1498" s="17"/>
      <x:c r="M1498" s="17"/>
      <x:c r="N1498" s="22"/>
      <x:c r="O1498" s="17"/>
    </x:row>
    <x:row r="1499">
      <x:c r="A1499" s="17"/>
      <x:c r="B1499" s="20"/>
      <x:c r="C1499" s="21"/>
      <x:c r="D1499" s="17"/>
      <x:c r="E1499" s="17"/>
      <x:c r="F1499" s="17"/>
      <x:c r="G1499" s="17"/>
      <x:c r="H1499" s="17"/>
      <x:c r="I1499" s="17"/>
      <x:c r="J1499" s="17"/>
      <x:c r="K1499" s="17"/>
      <x:c r="L1499" s="17"/>
      <x:c r="M1499" s="17"/>
      <x:c r="N1499" s="22"/>
      <x:c r="O1499" s="17"/>
    </x:row>
    <x:row r="1500">
      <x:c r="A1500" s="17"/>
      <x:c r="B1500" s="20"/>
      <x:c r="C1500" s="21"/>
      <x:c r="D1500" s="17"/>
      <x:c r="E1500" s="17"/>
      <x:c r="F1500" s="17"/>
      <x:c r="G1500" s="17"/>
      <x:c r="H1500" s="17"/>
      <x:c r="I1500" s="17"/>
      <x:c r="J1500" s="17"/>
      <x:c r="K1500" s="17"/>
      <x:c r="L1500" s="17"/>
      <x:c r="M1500" s="17"/>
      <x:c r="N1500" s="22"/>
      <x:c r="O1500" s="17"/>
    </x:row>
    <x:row r="1501">
      <x:c r="A1501" s="17"/>
      <x:c r="B1501" s="20"/>
      <x:c r="C1501" s="21"/>
      <x:c r="D1501" s="17"/>
      <x:c r="E1501" s="17"/>
      <x:c r="F1501" s="17"/>
      <x:c r="G1501" s="17"/>
      <x:c r="H1501" s="17"/>
      <x:c r="I1501" s="17"/>
      <x:c r="J1501" s="17"/>
      <x:c r="K1501" s="17"/>
      <x:c r="L1501" s="17"/>
      <x:c r="M1501" s="17"/>
      <x:c r="N1501" s="22"/>
      <x:c r="O1501" s="17"/>
    </x:row>
    <x:row r="1502">
      <x:c r="A1502" s="17"/>
      <x:c r="B1502" s="20"/>
      <x:c r="C1502" s="21"/>
      <x:c r="D1502" s="17"/>
      <x:c r="E1502" s="17"/>
      <x:c r="F1502" s="17"/>
      <x:c r="G1502" s="17"/>
      <x:c r="H1502" s="17"/>
      <x:c r="I1502" s="17"/>
      <x:c r="J1502" s="17"/>
      <x:c r="K1502" s="17"/>
      <x:c r="L1502" s="17"/>
      <x:c r="M1502" s="17"/>
      <x:c r="N1502" s="22"/>
      <x:c r="O1502" s="17"/>
    </x:row>
    <x:row r="1503">
      <x:c r="A1503" s="17"/>
      <x:c r="B1503" s="20"/>
      <x:c r="C1503" s="21"/>
      <x:c r="D1503" s="17"/>
      <x:c r="E1503" s="17"/>
      <x:c r="F1503" s="17"/>
      <x:c r="G1503" s="17"/>
      <x:c r="H1503" s="17"/>
      <x:c r="I1503" s="17"/>
      <x:c r="J1503" s="17"/>
      <x:c r="K1503" s="17"/>
      <x:c r="L1503" s="17"/>
      <x:c r="M1503" s="17"/>
      <x:c r="N1503" s="22"/>
      <x:c r="O1503" s="17"/>
    </x:row>
    <x:row r="1504">
      <x:c r="A1504" s="17"/>
      <x:c r="B1504" s="20"/>
      <x:c r="C1504" s="21"/>
      <x:c r="D1504" s="17"/>
      <x:c r="E1504" s="17"/>
      <x:c r="F1504" s="17"/>
      <x:c r="G1504" s="17"/>
      <x:c r="H1504" s="17"/>
      <x:c r="I1504" s="17"/>
      <x:c r="J1504" s="17"/>
      <x:c r="K1504" s="17"/>
      <x:c r="L1504" s="17"/>
      <x:c r="M1504" s="17"/>
      <x:c r="N1504" s="22"/>
      <x:c r="O1504" s="17"/>
    </x:row>
    <x:row r="1505">
      <x:c r="A1505" s="17"/>
      <x:c r="B1505" s="20"/>
      <x:c r="C1505" s="21"/>
      <x:c r="D1505" s="17"/>
      <x:c r="E1505" s="17"/>
      <x:c r="F1505" s="17"/>
      <x:c r="G1505" s="17"/>
      <x:c r="H1505" s="17"/>
      <x:c r="I1505" s="17"/>
      <x:c r="J1505" s="17"/>
      <x:c r="K1505" s="17"/>
      <x:c r="L1505" s="17"/>
      <x:c r="M1505" s="17"/>
      <x:c r="N1505" s="22"/>
      <x:c r="O1505" s="17"/>
    </x:row>
    <x:row r="1506">
      <x:c r="A1506" s="17"/>
      <x:c r="B1506" s="20"/>
      <x:c r="C1506" s="21"/>
      <x:c r="D1506" s="17"/>
      <x:c r="E1506" s="17"/>
      <x:c r="F1506" s="17"/>
      <x:c r="G1506" s="17"/>
      <x:c r="H1506" s="17"/>
      <x:c r="I1506" s="17"/>
      <x:c r="J1506" s="17"/>
      <x:c r="K1506" s="17"/>
      <x:c r="L1506" s="17"/>
      <x:c r="M1506" s="17"/>
      <x:c r="N1506" s="22"/>
      <x:c r="O1506" s="17"/>
    </x:row>
    <x:row r="1507">
      <x:c r="A1507" s="17"/>
      <x:c r="B1507" s="20"/>
      <x:c r="C1507" s="21"/>
      <x:c r="D1507" s="17"/>
      <x:c r="E1507" s="17"/>
      <x:c r="F1507" s="17"/>
      <x:c r="G1507" s="17"/>
      <x:c r="H1507" s="17"/>
      <x:c r="I1507" s="17"/>
      <x:c r="J1507" s="17"/>
      <x:c r="K1507" s="17"/>
      <x:c r="L1507" s="17"/>
      <x:c r="M1507" s="17"/>
      <x:c r="N1507" s="22"/>
      <x:c r="O1507" s="17"/>
    </x:row>
    <x:row r="1508">
      <x:c r="A1508" s="17"/>
      <x:c r="B1508" s="20"/>
      <x:c r="C1508" s="21"/>
      <x:c r="D1508" s="17"/>
      <x:c r="E1508" s="17"/>
      <x:c r="F1508" s="17"/>
      <x:c r="G1508" s="17"/>
      <x:c r="H1508" s="17"/>
      <x:c r="I1508" s="17"/>
      <x:c r="J1508" s="17"/>
      <x:c r="K1508" s="17"/>
      <x:c r="L1508" s="17"/>
      <x:c r="M1508" s="17"/>
      <x:c r="N1508" s="22"/>
      <x:c r="O1508" s="17"/>
    </x:row>
    <x:row r="1509">
      <x:c r="A1509" s="17"/>
      <x:c r="B1509" s="20"/>
      <x:c r="C1509" s="21"/>
      <x:c r="D1509" s="17"/>
      <x:c r="E1509" s="17"/>
      <x:c r="F1509" s="17"/>
      <x:c r="G1509" s="17"/>
      <x:c r="H1509" s="17"/>
      <x:c r="I1509" s="17"/>
      <x:c r="J1509" s="17"/>
      <x:c r="K1509" s="17"/>
      <x:c r="L1509" s="17"/>
      <x:c r="M1509" s="17"/>
      <x:c r="N1509" s="22"/>
      <x:c r="O1509" s="17"/>
    </x:row>
    <x:row r="1510">
      <x:c r="A1510" s="17"/>
      <x:c r="B1510" s="20"/>
      <x:c r="C1510" s="21"/>
      <x:c r="D1510" s="17"/>
      <x:c r="E1510" s="17"/>
      <x:c r="F1510" s="17"/>
      <x:c r="G1510" s="17"/>
      <x:c r="H1510" s="17"/>
      <x:c r="I1510" s="17"/>
      <x:c r="J1510" s="17"/>
      <x:c r="K1510" s="17"/>
      <x:c r="L1510" s="17"/>
      <x:c r="M1510" s="17"/>
      <x:c r="N1510" s="22"/>
      <x:c r="O1510" s="17"/>
    </x:row>
    <x:row r="1511">
      <x:c r="A1511" s="17"/>
      <x:c r="B1511" s="20"/>
      <x:c r="C1511" s="21"/>
      <x:c r="D1511" s="17"/>
      <x:c r="E1511" s="17"/>
      <x:c r="F1511" s="17"/>
      <x:c r="G1511" s="17"/>
      <x:c r="H1511" s="17"/>
      <x:c r="I1511" s="17"/>
      <x:c r="J1511" s="17"/>
      <x:c r="K1511" s="17"/>
      <x:c r="L1511" s="17"/>
      <x:c r="M1511" s="17"/>
      <x:c r="N1511" s="22"/>
      <x:c r="O1511" s="17"/>
    </x:row>
    <x:row r="1512">
      <x:c r="A1512" s="17"/>
      <x:c r="B1512" s="20"/>
      <x:c r="C1512" s="21"/>
      <x:c r="D1512" s="17"/>
      <x:c r="E1512" s="17"/>
      <x:c r="F1512" s="17"/>
      <x:c r="G1512" s="17"/>
      <x:c r="H1512" s="17"/>
      <x:c r="I1512" s="17"/>
      <x:c r="J1512" s="17"/>
      <x:c r="K1512" s="17"/>
      <x:c r="L1512" s="17"/>
      <x:c r="M1512" s="17"/>
      <x:c r="N1512" s="22"/>
      <x:c r="O1512" s="17"/>
    </x:row>
    <x:row r="1513">
      <x:c r="A1513" s="17"/>
      <x:c r="B1513" s="20"/>
      <x:c r="C1513" s="21"/>
      <x:c r="D1513" s="17"/>
      <x:c r="E1513" s="17"/>
      <x:c r="F1513" s="17"/>
      <x:c r="G1513" s="17"/>
      <x:c r="H1513" s="17"/>
      <x:c r="I1513" s="17"/>
      <x:c r="J1513" s="17"/>
      <x:c r="K1513" s="17"/>
      <x:c r="L1513" s="17"/>
      <x:c r="M1513" s="17"/>
      <x:c r="N1513" s="22"/>
      <x:c r="O1513" s="17"/>
    </x:row>
    <x:row r="1514">
      <x:c r="A1514" s="17"/>
      <x:c r="B1514" s="20"/>
      <x:c r="C1514" s="21"/>
      <x:c r="D1514" s="17"/>
      <x:c r="E1514" s="17"/>
      <x:c r="F1514" s="17"/>
      <x:c r="G1514" s="17"/>
      <x:c r="H1514" s="17"/>
      <x:c r="I1514" s="17"/>
      <x:c r="J1514" s="17"/>
      <x:c r="K1514" s="17"/>
      <x:c r="L1514" s="17"/>
      <x:c r="M1514" s="17"/>
      <x:c r="N1514" s="22"/>
      <x:c r="O1514" s="17"/>
    </x:row>
    <x:row r="1515">
      <x:c r="A1515" s="17"/>
      <x:c r="B1515" s="20"/>
      <x:c r="C1515" s="21"/>
      <x:c r="D1515" s="17"/>
      <x:c r="E1515" s="17"/>
      <x:c r="F1515" s="17"/>
      <x:c r="G1515" s="17"/>
      <x:c r="H1515" s="17"/>
      <x:c r="I1515" s="17"/>
      <x:c r="J1515" s="17"/>
      <x:c r="K1515" s="17"/>
      <x:c r="L1515" s="17"/>
      <x:c r="M1515" s="17"/>
      <x:c r="N1515" s="22"/>
      <x:c r="O1515" s="17"/>
    </x:row>
    <x:row r="1516">
      <x:c r="A1516" s="17"/>
      <x:c r="B1516" s="20"/>
      <x:c r="C1516" s="21"/>
      <x:c r="D1516" s="17"/>
      <x:c r="E1516" s="17"/>
      <x:c r="F1516" s="17"/>
      <x:c r="G1516" s="17"/>
      <x:c r="H1516" s="17"/>
      <x:c r="I1516" s="17"/>
      <x:c r="J1516" s="17"/>
      <x:c r="K1516" s="17"/>
      <x:c r="L1516" s="17"/>
      <x:c r="M1516" s="17"/>
      <x:c r="N1516" s="22"/>
      <x:c r="O1516" s="17"/>
    </x:row>
    <x:row r="1517">
      <x:c r="A1517" s="17"/>
      <x:c r="B1517" s="20"/>
      <x:c r="C1517" s="21"/>
      <x:c r="D1517" s="17"/>
      <x:c r="E1517" s="17"/>
      <x:c r="F1517" s="17"/>
      <x:c r="G1517" s="17"/>
      <x:c r="H1517" s="17"/>
      <x:c r="I1517" s="17"/>
      <x:c r="J1517" s="17"/>
      <x:c r="K1517" s="17"/>
      <x:c r="L1517" s="17"/>
      <x:c r="M1517" s="17"/>
      <x:c r="N1517" s="22"/>
      <x:c r="O1517" s="17"/>
    </x:row>
    <x:row r="1518">
      <x:c r="A1518" s="17"/>
      <x:c r="B1518" s="20"/>
      <x:c r="C1518" s="21"/>
      <x:c r="D1518" s="17"/>
      <x:c r="E1518" s="17"/>
      <x:c r="F1518" s="17"/>
      <x:c r="G1518" s="17"/>
      <x:c r="H1518" s="17"/>
      <x:c r="I1518" s="17"/>
      <x:c r="J1518" s="17"/>
      <x:c r="K1518" s="17"/>
      <x:c r="L1518" s="17"/>
      <x:c r="M1518" s="17"/>
      <x:c r="N1518" s="22"/>
      <x:c r="O1518" s="17"/>
    </x:row>
    <x:row r="1519">
      <x:c r="A1519" s="17"/>
      <x:c r="B1519" s="20"/>
      <x:c r="C1519" s="21"/>
      <x:c r="D1519" s="17"/>
      <x:c r="E1519" s="17"/>
      <x:c r="F1519" s="17"/>
      <x:c r="G1519" s="17"/>
      <x:c r="H1519" s="17"/>
      <x:c r="I1519" s="17"/>
      <x:c r="J1519" s="17"/>
      <x:c r="K1519" s="17"/>
      <x:c r="L1519" s="17"/>
      <x:c r="M1519" s="17"/>
      <x:c r="N1519" s="22"/>
      <x:c r="O1519" s="17"/>
    </x:row>
    <x:row r="1520">
      <x:c r="A1520" s="17"/>
      <x:c r="B1520" s="20"/>
      <x:c r="C1520" s="21"/>
      <x:c r="D1520" s="17"/>
      <x:c r="E1520" s="17"/>
      <x:c r="F1520" s="17"/>
      <x:c r="G1520" s="17"/>
      <x:c r="H1520" s="17"/>
      <x:c r="I1520" s="17"/>
      <x:c r="J1520" s="17"/>
      <x:c r="K1520" s="17"/>
      <x:c r="L1520" s="17"/>
      <x:c r="M1520" s="17"/>
      <x:c r="N1520" s="22"/>
      <x:c r="O1520" s="17"/>
    </x:row>
    <x:row r="1521">
      <x:c r="A1521" s="17"/>
      <x:c r="B1521" s="20"/>
      <x:c r="C1521" s="21"/>
      <x:c r="D1521" s="17"/>
      <x:c r="E1521" s="17"/>
      <x:c r="F1521" s="17"/>
      <x:c r="G1521" s="17"/>
      <x:c r="H1521" s="17"/>
      <x:c r="I1521" s="17"/>
      <x:c r="J1521" s="17"/>
      <x:c r="K1521" s="17"/>
      <x:c r="L1521" s="17"/>
      <x:c r="M1521" s="17"/>
      <x:c r="N1521" s="22"/>
      <x:c r="O1521" s="17"/>
    </x:row>
    <x:row r="1522">
      <x:c r="A1522" s="17"/>
      <x:c r="B1522" s="20"/>
      <x:c r="C1522" s="21"/>
      <x:c r="D1522" s="17"/>
      <x:c r="E1522" s="17"/>
      <x:c r="F1522" s="17"/>
      <x:c r="G1522" s="17"/>
      <x:c r="H1522" s="17"/>
      <x:c r="I1522" s="17"/>
      <x:c r="J1522" s="17"/>
      <x:c r="K1522" s="17"/>
      <x:c r="L1522" s="17"/>
      <x:c r="M1522" s="17"/>
      <x:c r="N1522" s="22"/>
      <x:c r="O1522" s="17"/>
    </x:row>
    <x:row r="1523">
      <x:c r="A1523" s="17"/>
      <x:c r="B1523" s="20"/>
      <x:c r="C1523" s="21"/>
      <x:c r="D1523" s="17"/>
      <x:c r="E1523" s="17"/>
      <x:c r="F1523" s="17"/>
      <x:c r="G1523" s="17"/>
      <x:c r="H1523" s="17"/>
      <x:c r="I1523" s="17"/>
      <x:c r="J1523" s="17"/>
      <x:c r="K1523" s="17"/>
      <x:c r="L1523" s="17"/>
      <x:c r="M1523" s="17"/>
      <x:c r="N1523" s="22"/>
      <x:c r="O1523" s="17"/>
    </x:row>
    <x:row r="1524">
      <x:c r="A1524" s="17"/>
      <x:c r="B1524" s="20"/>
      <x:c r="C1524" s="21"/>
      <x:c r="D1524" s="17"/>
      <x:c r="E1524" s="17"/>
      <x:c r="F1524" s="17"/>
      <x:c r="G1524" s="17"/>
      <x:c r="H1524" s="17"/>
      <x:c r="I1524" s="17"/>
      <x:c r="J1524" s="17"/>
      <x:c r="K1524" s="17"/>
      <x:c r="L1524" s="17"/>
      <x:c r="M1524" s="17"/>
      <x:c r="N1524" s="22"/>
      <x:c r="O1524" s="17"/>
    </x:row>
    <x:row r="1525">
      <x:c r="A1525" s="17"/>
      <x:c r="B1525" s="20"/>
      <x:c r="C1525" s="21"/>
      <x:c r="D1525" s="17"/>
      <x:c r="E1525" s="17"/>
      <x:c r="F1525" s="17"/>
      <x:c r="G1525" s="17"/>
      <x:c r="H1525" s="17"/>
      <x:c r="I1525" s="17"/>
      <x:c r="J1525" s="17"/>
      <x:c r="K1525" s="17"/>
      <x:c r="L1525" s="17"/>
      <x:c r="M1525" s="17"/>
      <x:c r="N1525" s="22"/>
      <x:c r="O1525" s="17"/>
    </x:row>
    <x:row r="1526">
      <x:c r="A1526" s="17"/>
      <x:c r="B1526" s="20"/>
      <x:c r="C1526" s="21"/>
      <x:c r="D1526" s="17"/>
      <x:c r="E1526" s="17"/>
      <x:c r="F1526" s="17"/>
      <x:c r="G1526" s="17"/>
      <x:c r="H1526" s="17"/>
      <x:c r="I1526" s="17"/>
      <x:c r="J1526" s="17"/>
      <x:c r="K1526" s="17"/>
      <x:c r="L1526" s="17"/>
      <x:c r="M1526" s="17"/>
      <x:c r="N1526" s="22"/>
      <x:c r="O1526" s="17"/>
    </x:row>
    <x:row r="1527">
      <x:c r="A1527" s="17"/>
      <x:c r="B1527" s="20"/>
      <x:c r="C1527" s="21"/>
      <x:c r="D1527" s="17"/>
      <x:c r="E1527" s="17"/>
      <x:c r="F1527" s="17"/>
      <x:c r="G1527" s="17"/>
      <x:c r="H1527" s="17"/>
      <x:c r="I1527" s="17"/>
      <x:c r="J1527" s="17"/>
      <x:c r="K1527" s="17"/>
      <x:c r="L1527" s="17"/>
      <x:c r="M1527" s="17"/>
      <x:c r="N1527" s="22"/>
      <x:c r="O1527" s="17"/>
    </x:row>
    <x:row r="1528">
      <x:c r="A1528" s="17"/>
      <x:c r="B1528" s="20"/>
      <x:c r="C1528" s="21"/>
      <x:c r="D1528" s="17"/>
      <x:c r="E1528" s="17"/>
      <x:c r="F1528" s="17"/>
      <x:c r="G1528" s="17"/>
      <x:c r="H1528" s="17"/>
      <x:c r="I1528" s="17"/>
      <x:c r="J1528" s="17"/>
      <x:c r="K1528" s="17"/>
      <x:c r="L1528" s="17"/>
      <x:c r="M1528" s="17"/>
      <x:c r="N1528" s="22"/>
      <x:c r="O1528" s="17"/>
    </x:row>
    <x:row r="1529">
      <x:c r="A1529" s="17"/>
      <x:c r="B1529" s="20"/>
      <x:c r="C1529" s="21"/>
      <x:c r="D1529" s="17"/>
      <x:c r="E1529" s="17"/>
      <x:c r="F1529" s="17"/>
      <x:c r="G1529" s="17"/>
      <x:c r="H1529" s="17"/>
      <x:c r="I1529" s="17"/>
      <x:c r="J1529" s="17"/>
      <x:c r="K1529" s="17"/>
      <x:c r="L1529" s="17"/>
      <x:c r="M1529" s="17"/>
      <x:c r="N1529" s="22"/>
      <x:c r="O1529" s="17"/>
    </x:row>
    <x:row r="1530">
      <x:c r="A1530" s="17"/>
      <x:c r="B1530" s="20"/>
      <x:c r="C1530" s="21"/>
      <x:c r="D1530" s="17"/>
      <x:c r="E1530" s="17"/>
      <x:c r="F1530" s="17"/>
      <x:c r="G1530" s="17"/>
      <x:c r="H1530" s="17"/>
      <x:c r="I1530" s="17"/>
      <x:c r="J1530" s="17"/>
      <x:c r="K1530" s="17"/>
      <x:c r="L1530" s="17"/>
      <x:c r="M1530" s="17"/>
      <x:c r="N1530" s="22"/>
      <x:c r="O1530" s="17"/>
    </x:row>
    <x:row r="1531">
      <x:c r="A1531" s="17"/>
      <x:c r="B1531" s="20"/>
      <x:c r="C1531" s="21"/>
      <x:c r="D1531" s="17"/>
      <x:c r="E1531" s="17"/>
      <x:c r="F1531" s="17"/>
      <x:c r="G1531" s="17"/>
      <x:c r="H1531" s="17"/>
      <x:c r="I1531" s="17"/>
      <x:c r="J1531" s="17"/>
      <x:c r="K1531" s="17"/>
      <x:c r="L1531" s="17"/>
      <x:c r="M1531" s="17"/>
      <x:c r="N1531" s="22"/>
      <x:c r="O1531" s="17"/>
    </x:row>
    <x:row r="1532">
      <x:c r="A1532" s="17"/>
      <x:c r="B1532" s="20"/>
      <x:c r="C1532" s="21"/>
      <x:c r="D1532" s="17"/>
      <x:c r="E1532" s="17"/>
      <x:c r="F1532" s="17"/>
      <x:c r="G1532" s="17"/>
      <x:c r="H1532" s="17"/>
      <x:c r="I1532" s="17"/>
      <x:c r="J1532" s="17"/>
      <x:c r="K1532" s="17"/>
      <x:c r="L1532" s="17"/>
      <x:c r="M1532" s="17"/>
      <x:c r="N1532" s="22"/>
      <x:c r="O1532" s="17"/>
    </x:row>
    <x:row r="1533">
      <x:c r="A1533" s="17"/>
      <x:c r="B1533" s="20"/>
      <x:c r="C1533" s="21"/>
      <x:c r="D1533" s="17"/>
      <x:c r="E1533" s="17"/>
      <x:c r="F1533" s="17"/>
      <x:c r="G1533" s="17"/>
      <x:c r="H1533" s="17"/>
      <x:c r="I1533" s="17"/>
      <x:c r="J1533" s="17"/>
      <x:c r="K1533" s="17"/>
      <x:c r="L1533" s="17"/>
      <x:c r="M1533" s="17"/>
      <x:c r="N1533" s="22"/>
      <x:c r="O1533" s="17"/>
    </x:row>
    <x:row r="1534">
      <x:c r="A1534" s="17"/>
      <x:c r="B1534" s="20"/>
      <x:c r="C1534" s="21"/>
      <x:c r="D1534" s="17"/>
      <x:c r="E1534" s="17"/>
      <x:c r="F1534" s="17"/>
      <x:c r="G1534" s="17"/>
      <x:c r="H1534" s="17"/>
      <x:c r="I1534" s="17"/>
      <x:c r="J1534" s="17"/>
      <x:c r="K1534" s="17"/>
      <x:c r="L1534" s="17"/>
      <x:c r="M1534" s="17"/>
      <x:c r="N1534" s="22"/>
      <x:c r="O1534" s="17"/>
    </x:row>
    <x:row r="1535">
      <x:c r="A1535" s="17"/>
      <x:c r="B1535" s="20"/>
      <x:c r="C1535" s="21"/>
      <x:c r="D1535" s="17"/>
      <x:c r="E1535" s="17"/>
      <x:c r="F1535" s="17"/>
      <x:c r="G1535" s="17"/>
      <x:c r="H1535" s="17"/>
      <x:c r="I1535" s="17"/>
      <x:c r="J1535" s="17"/>
      <x:c r="K1535" s="17"/>
      <x:c r="L1535" s="17"/>
      <x:c r="M1535" s="17"/>
      <x:c r="N1535" s="22"/>
      <x:c r="O1535" s="17"/>
    </x:row>
    <x:row r="1536">
      <x:c r="A1536" s="17"/>
      <x:c r="B1536" s="20"/>
      <x:c r="C1536" s="21"/>
      <x:c r="D1536" s="17"/>
      <x:c r="E1536" s="17"/>
      <x:c r="F1536" s="17"/>
      <x:c r="G1536" s="17"/>
      <x:c r="H1536" s="17"/>
      <x:c r="I1536" s="17"/>
      <x:c r="J1536" s="17"/>
      <x:c r="K1536" s="17"/>
      <x:c r="L1536" s="17"/>
      <x:c r="M1536" s="17"/>
      <x:c r="N1536" s="22"/>
      <x:c r="O1536" s="17"/>
    </x:row>
    <x:row r="1537">
      <x:c r="A1537" s="17"/>
      <x:c r="B1537" s="20"/>
      <x:c r="C1537" s="21"/>
      <x:c r="D1537" s="17"/>
      <x:c r="E1537" s="17"/>
      <x:c r="F1537" s="17"/>
      <x:c r="G1537" s="17"/>
      <x:c r="H1537" s="17"/>
      <x:c r="I1537" s="17"/>
      <x:c r="J1537" s="17"/>
      <x:c r="K1537" s="17"/>
      <x:c r="L1537" s="17"/>
      <x:c r="M1537" s="17"/>
      <x:c r="N1537" s="22"/>
      <x:c r="O1537" s="17"/>
    </x:row>
    <x:row r="1538">
      <x:c r="A1538" s="17"/>
      <x:c r="B1538" s="20"/>
      <x:c r="C1538" s="21"/>
      <x:c r="D1538" s="17"/>
      <x:c r="E1538" s="17"/>
      <x:c r="F1538" s="17"/>
      <x:c r="G1538" s="17"/>
      <x:c r="H1538" s="17"/>
      <x:c r="I1538" s="17"/>
      <x:c r="J1538" s="17"/>
      <x:c r="K1538" s="17"/>
      <x:c r="L1538" s="17"/>
      <x:c r="M1538" s="17"/>
      <x:c r="N1538" s="22"/>
      <x:c r="O1538" s="17"/>
    </x:row>
    <x:row r="1539">
      <x:c r="A1539" s="17"/>
      <x:c r="B1539" s="20"/>
      <x:c r="C1539" s="21"/>
      <x:c r="D1539" s="17"/>
      <x:c r="E1539" s="17"/>
      <x:c r="F1539" s="17"/>
      <x:c r="G1539" s="17"/>
      <x:c r="H1539" s="17"/>
      <x:c r="I1539" s="17"/>
      <x:c r="J1539" s="17"/>
      <x:c r="K1539" s="17"/>
      <x:c r="L1539" s="17"/>
      <x:c r="M1539" s="17"/>
      <x:c r="N1539" s="22"/>
      <x:c r="O1539" s="17"/>
    </x:row>
    <x:row r="1540">
      <x:c r="A1540" s="17"/>
      <x:c r="B1540" s="20"/>
      <x:c r="C1540" s="21"/>
      <x:c r="D1540" s="17"/>
      <x:c r="E1540" s="17"/>
      <x:c r="F1540" s="17"/>
      <x:c r="G1540" s="17"/>
      <x:c r="H1540" s="17"/>
      <x:c r="I1540" s="17"/>
      <x:c r="J1540" s="17"/>
      <x:c r="K1540" s="17"/>
      <x:c r="L1540" s="17"/>
      <x:c r="M1540" s="17"/>
      <x:c r="N1540" s="22"/>
      <x:c r="O1540" s="17"/>
    </x:row>
    <x:row r="1541">
      <x:c r="A1541" s="17"/>
      <x:c r="B1541" s="20"/>
      <x:c r="C1541" s="21"/>
      <x:c r="D1541" s="17"/>
      <x:c r="E1541" s="17"/>
      <x:c r="F1541" s="17"/>
      <x:c r="G1541" s="17"/>
      <x:c r="H1541" s="17"/>
      <x:c r="I1541" s="17"/>
      <x:c r="J1541" s="17"/>
      <x:c r="K1541" s="17"/>
      <x:c r="L1541" s="17"/>
      <x:c r="M1541" s="17"/>
      <x:c r="N1541" s="22"/>
      <x:c r="O1541" s="17"/>
    </x:row>
    <x:row r="1542">
      <x:c r="A1542" s="17"/>
      <x:c r="B1542" s="20"/>
      <x:c r="C1542" s="21"/>
      <x:c r="D1542" s="17"/>
      <x:c r="E1542" s="17"/>
      <x:c r="F1542" s="17"/>
      <x:c r="G1542" s="17"/>
      <x:c r="H1542" s="17"/>
      <x:c r="I1542" s="17"/>
      <x:c r="J1542" s="17"/>
      <x:c r="K1542" s="17"/>
      <x:c r="L1542" s="17"/>
      <x:c r="M1542" s="17"/>
      <x:c r="N1542" s="22"/>
      <x:c r="O1542" s="17"/>
    </x:row>
    <x:row r="1543">
      <x:c r="A1543" s="17"/>
      <x:c r="B1543" s="20"/>
      <x:c r="C1543" s="21"/>
      <x:c r="D1543" s="17"/>
      <x:c r="E1543" s="17"/>
      <x:c r="F1543" s="17"/>
      <x:c r="G1543" s="17"/>
      <x:c r="H1543" s="17"/>
      <x:c r="I1543" s="17"/>
      <x:c r="J1543" s="17"/>
      <x:c r="K1543" s="17"/>
      <x:c r="L1543" s="17"/>
      <x:c r="M1543" s="17"/>
      <x:c r="N1543" s="22"/>
      <x:c r="O1543" s="17"/>
    </x:row>
    <x:row r="1544">
      <x:c r="A1544" s="17"/>
      <x:c r="B1544" s="20"/>
      <x:c r="C1544" s="21"/>
      <x:c r="D1544" s="17"/>
      <x:c r="E1544" s="17"/>
      <x:c r="F1544" s="17"/>
      <x:c r="G1544" s="17"/>
      <x:c r="H1544" s="17"/>
      <x:c r="I1544" s="17"/>
      <x:c r="J1544" s="17"/>
      <x:c r="K1544" s="17"/>
      <x:c r="L1544" s="17"/>
      <x:c r="M1544" s="17"/>
      <x:c r="N1544" s="22"/>
      <x:c r="O1544" s="17"/>
    </x:row>
    <x:row r="1545">
      <x:c r="A1545" s="17"/>
      <x:c r="B1545" s="20"/>
      <x:c r="C1545" s="21"/>
      <x:c r="D1545" s="17"/>
      <x:c r="E1545" s="17"/>
      <x:c r="F1545" s="17"/>
      <x:c r="G1545" s="17"/>
      <x:c r="H1545" s="17"/>
      <x:c r="I1545" s="17"/>
      <x:c r="J1545" s="17"/>
      <x:c r="K1545" s="17"/>
      <x:c r="L1545" s="17"/>
      <x:c r="M1545" s="17"/>
      <x:c r="N1545" s="22"/>
      <x:c r="O1545" s="17"/>
    </x:row>
    <x:row r="1546">
      <x:c r="A1546" s="17"/>
      <x:c r="B1546" s="20"/>
      <x:c r="C1546" s="21"/>
      <x:c r="D1546" s="17"/>
      <x:c r="E1546" s="17"/>
      <x:c r="F1546" s="17"/>
      <x:c r="G1546" s="17"/>
      <x:c r="H1546" s="17"/>
      <x:c r="I1546" s="17"/>
      <x:c r="J1546" s="17"/>
      <x:c r="K1546" s="17"/>
      <x:c r="L1546" s="17"/>
      <x:c r="M1546" s="17"/>
      <x:c r="N1546" s="22"/>
      <x:c r="O1546" s="17"/>
    </x:row>
    <x:row r="1547">
      <x:c r="A1547" s="17"/>
      <x:c r="B1547" s="20"/>
      <x:c r="C1547" s="21"/>
      <x:c r="D1547" s="17"/>
      <x:c r="E1547" s="17"/>
      <x:c r="F1547" s="17"/>
      <x:c r="G1547" s="17"/>
      <x:c r="H1547" s="17"/>
      <x:c r="I1547" s="17"/>
      <x:c r="J1547" s="17"/>
      <x:c r="K1547" s="17"/>
      <x:c r="L1547" s="17"/>
      <x:c r="M1547" s="17"/>
      <x:c r="N1547" s="22"/>
      <x:c r="O1547" s="17"/>
    </x:row>
    <x:row r="1548">
      <x:c r="A1548" s="17"/>
      <x:c r="B1548" s="20"/>
      <x:c r="C1548" s="21"/>
      <x:c r="D1548" s="17"/>
      <x:c r="E1548" s="17"/>
      <x:c r="F1548" s="17"/>
      <x:c r="G1548" s="17"/>
      <x:c r="H1548" s="17"/>
      <x:c r="I1548" s="17"/>
      <x:c r="J1548" s="17"/>
      <x:c r="K1548" s="17"/>
      <x:c r="L1548" s="17"/>
      <x:c r="M1548" s="17"/>
      <x:c r="N1548" s="22"/>
      <x:c r="O1548" s="17"/>
    </x:row>
    <x:row r="1549">
      <x:c r="A1549" s="17"/>
      <x:c r="B1549" s="20"/>
      <x:c r="C1549" s="21"/>
      <x:c r="D1549" s="17"/>
      <x:c r="E1549" s="17"/>
      <x:c r="F1549" s="17"/>
      <x:c r="G1549" s="17"/>
      <x:c r="H1549" s="17"/>
      <x:c r="I1549" s="17"/>
      <x:c r="J1549" s="17"/>
      <x:c r="K1549" s="17"/>
      <x:c r="L1549" s="17"/>
      <x:c r="M1549" s="17"/>
      <x:c r="N1549" s="22"/>
      <x:c r="O1549" s="17"/>
    </x:row>
    <x:row r="1550">
      <x:c r="A1550" s="17"/>
      <x:c r="B1550" s="20"/>
      <x:c r="C1550" s="21"/>
      <x:c r="D1550" s="17"/>
      <x:c r="E1550" s="17"/>
      <x:c r="F1550" s="17"/>
      <x:c r="G1550" s="17"/>
      <x:c r="H1550" s="17"/>
      <x:c r="I1550" s="17"/>
      <x:c r="J1550" s="17"/>
      <x:c r="K1550" s="17"/>
      <x:c r="L1550" s="17"/>
      <x:c r="M1550" s="17"/>
      <x:c r="N1550" s="22"/>
      <x:c r="O1550" s="17"/>
    </x:row>
    <x:row r="1551">
      <x:c r="A1551" s="17"/>
      <x:c r="B1551" s="20"/>
      <x:c r="C1551" s="21"/>
      <x:c r="D1551" s="17"/>
      <x:c r="E1551" s="17"/>
      <x:c r="F1551" s="17"/>
      <x:c r="G1551" s="17"/>
      <x:c r="H1551" s="17"/>
      <x:c r="I1551" s="17"/>
      <x:c r="J1551" s="17"/>
      <x:c r="K1551" s="17"/>
      <x:c r="L1551" s="17"/>
      <x:c r="M1551" s="17"/>
      <x:c r="N1551" s="22"/>
      <x:c r="O1551" s="17"/>
    </x:row>
    <x:row r="1552">
      <x:c r="A1552" s="17"/>
      <x:c r="B1552" s="20"/>
      <x:c r="C1552" s="21"/>
      <x:c r="D1552" s="17"/>
      <x:c r="E1552" s="17"/>
      <x:c r="F1552" s="17"/>
      <x:c r="G1552" s="17"/>
      <x:c r="H1552" s="17"/>
      <x:c r="I1552" s="17"/>
      <x:c r="J1552" s="17"/>
      <x:c r="K1552" s="17"/>
      <x:c r="L1552" s="17"/>
      <x:c r="M1552" s="17"/>
      <x:c r="N1552" s="22"/>
      <x:c r="O1552" s="17"/>
    </x:row>
    <x:row r="1553">
      <x:c r="A1553" s="17"/>
      <x:c r="B1553" s="20"/>
      <x:c r="C1553" s="21"/>
      <x:c r="D1553" s="17"/>
      <x:c r="E1553" s="17"/>
      <x:c r="F1553" s="17"/>
      <x:c r="G1553" s="17"/>
      <x:c r="H1553" s="17"/>
      <x:c r="I1553" s="17"/>
      <x:c r="J1553" s="17"/>
      <x:c r="K1553" s="17"/>
      <x:c r="L1553" s="17"/>
      <x:c r="M1553" s="17"/>
      <x:c r="N1553" s="22"/>
      <x:c r="O1553" s="17"/>
    </x:row>
    <x:row r="1554">
      <x:c r="A1554" s="17"/>
      <x:c r="B1554" s="20"/>
      <x:c r="C1554" s="21"/>
      <x:c r="D1554" s="17"/>
      <x:c r="E1554" s="17"/>
      <x:c r="F1554" s="17"/>
      <x:c r="G1554" s="17"/>
      <x:c r="H1554" s="17"/>
      <x:c r="I1554" s="17"/>
      <x:c r="J1554" s="17"/>
      <x:c r="K1554" s="17"/>
      <x:c r="L1554" s="17"/>
      <x:c r="M1554" s="17"/>
      <x:c r="N1554" s="22"/>
      <x:c r="O1554" s="17"/>
    </x:row>
    <x:row r="1555">
      <x:c r="A1555" s="17"/>
      <x:c r="B1555" s="20"/>
      <x:c r="C1555" s="21"/>
      <x:c r="D1555" s="17"/>
      <x:c r="E1555" s="17"/>
      <x:c r="F1555" s="17"/>
      <x:c r="G1555" s="17"/>
      <x:c r="H1555" s="17"/>
      <x:c r="I1555" s="17"/>
      <x:c r="J1555" s="17"/>
      <x:c r="K1555" s="17"/>
      <x:c r="L1555" s="17"/>
      <x:c r="M1555" s="17"/>
      <x:c r="N1555" s="22"/>
      <x:c r="O1555" s="17"/>
    </x:row>
    <x:row r="1556">
      <x:c r="A1556" s="17"/>
      <x:c r="B1556" s="20"/>
      <x:c r="C1556" s="21"/>
      <x:c r="D1556" s="17"/>
      <x:c r="E1556" s="17"/>
      <x:c r="F1556" s="17"/>
      <x:c r="G1556" s="17"/>
      <x:c r="H1556" s="17"/>
      <x:c r="I1556" s="17"/>
      <x:c r="J1556" s="17"/>
      <x:c r="K1556" s="17"/>
      <x:c r="L1556" s="17"/>
      <x:c r="M1556" s="17"/>
      <x:c r="N1556" s="22"/>
      <x:c r="O1556" s="17"/>
    </x:row>
    <x:row r="1557">
      <x:c r="A1557" s="17"/>
      <x:c r="B1557" s="20"/>
      <x:c r="C1557" s="21"/>
      <x:c r="D1557" s="17"/>
      <x:c r="E1557" s="17"/>
      <x:c r="F1557" s="17"/>
      <x:c r="G1557" s="17"/>
      <x:c r="H1557" s="17"/>
      <x:c r="I1557" s="17"/>
      <x:c r="J1557" s="17"/>
      <x:c r="K1557" s="17"/>
      <x:c r="L1557" s="17"/>
      <x:c r="M1557" s="17"/>
      <x:c r="N1557" s="22"/>
      <x:c r="O1557" s="17"/>
    </x:row>
    <x:row r="1558">
      <x:c r="A1558" s="17"/>
      <x:c r="B1558" s="20"/>
      <x:c r="C1558" s="21"/>
      <x:c r="D1558" s="17"/>
      <x:c r="E1558" s="17"/>
      <x:c r="F1558" s="17"/>
      <x:c r="G1558" s="17"/>
      <x:c r="H1558" s="17"/>
      <x:c r="I1558" s="17"/>
      <x:c r="J1558" s="17"/>
      <x:c r="K1558" s="17"/>
      <x:c r="L1558" s="17"/>
      <x:c r="M1558" s="17"/>
      <x:c r="N1558" s="22"/>
      <x:c r="O1558" s="17"/>
    </x:row>
    <x:row r="1559">
      <x:c r="A1559" s="17"/>
      <x:c r="B1559" s="20"/>
      <x:c r="C1559" s="21"/>
      <x:c r="D1559" s="17"/>
      <x:c r="E1559" s="17"/>
      <x:c r="F1559" s="17"/>
      <x:c r="G1559" s="17"/>
      <x:c r="H1559" s="17"/>
      <x:c r="I1559" s="17"/>
      <x:c r="J1559" s="17"/>
      <x:c r="K1559" s="17"/>
      <x:c r="L1559" s="17"/>
      <x:c r="M1559" s="17"/>
      <x:c r="N1559" s="22"/>
      <x:c r="O1559" s="17"/>
    </x:row>
    <x:row r="1560">
      <x:c r="A1560" s="17"/>
      <x:c r="B1560" s="20"/>
      <x:c r="C1560" s="21"/>
      <x:c r="D1560" s="17"/>
      <x:c r="E1560" s="17"/>
      <x:c r="F1560" s="17"/>
      <x:c r="G1560" s="17"/>
      <x:c r="H1560" s="17"/>
      <x:c r="I1560" s="17"/>
      <x:c r="J1560" s="17"/>
      <x:c r="K1560" s="17"/>
      <x:c r="L1560" s="17"/>
      <x:c r="M1560" s="17"/>
      <x:c r="N1560" s="22"/>
      <x:c r="O1560" s="17"/>
    </x:row>
    <x:row r="1561">
      <x:c r="A1561" s="17"/>
      <x:c r="B1561" s="20"/>
      <x:c r="C1561" s="21"/>
      <x:c r="D1561" s="17"/>
      <x:c r="E1561" s="17"/>
      <x:c r="F1561" s="17"/>
      <x:c r="G1561" s="17"/>
      <x:c r="H1561" s="17"/>
      <x:c r="I1561" s="17"/>
      <x:c r="J1561" s="17"/>
      <x:c r="K1561" s="17"/>
      <x:c r="L1561" s="17"/>
      <x:c r="M1561" s="17"/>
      <x:c r="N1561" s="22"/>
      <x:c r="O1561" s="17"/>
    </x:row>
    <x:row r="1562">
      <x:c r="A1562" s="17"/>
      <x:c r="B1562" s="20"/>
      <x:c r="C1562" s="21"/>
      <x:c r="D1562" s="17"/>
      <x:c r="E1562" s="17"/>
      <x:c r="F1562" s="17"/>
      <x:c r="G1562" s="17"/>
      <x:c r="H1562" s="17"/>
      <x:c r="I1562" s="17"/>
      <x:c r="J1562" s="17"/>
      <x:c r="K1562" s="17"/>
      <x:c r="L1562" s="17"/>
      <x:c r="M1562" s="17"/>
      <x:c r="N1562" s="22"/>
      <x:c r="O1562" s="17"/>
    </x:row>
    <x:row r="1563">
      <x:c r="A1563" s="17"/>
      <x:c r="B1563" s="20"/>
      <x:c r="C1563" s="21"/>
      <x:c r="D1563" s="17"/>
      <x:c r="E1563" s="17"/>
      <x:c r="F1563" s="17"/>
      <x:c r="G1563" s="17"/>
      <x:c r="H1563" s="17"/>
      <x:c r="I1563" s="17"/>
      <x:c r="J1563" s="17"/>
      <x:c r="K1563" s="17"/>
      <x:c r="L1563" s="17"/>
      <x:c r="M1563" s="17"/>
      <x:c r="N1563" s="22"/>
      <x:c r="O1563" s="17"/>
    </x:row>
    <x:row r="1564">
      <x:c r="A1564" s="17"/>
      <x:c r="B1564" s="20"/>
      <x:c r="C1564" s="21"/>
      <x:c r="D1564" s="17"/>
      <x:c r="E1564" s="17"/>
      <x:c r="F1564" s="17"/>
      <x:c r="G1564" s="17"/>
      <x:c r="H1564" s="17"/>
      <x:c r="I1564" s="17"/>
      <x:c r="J1564" s="17"/>
      <x:c r="K1564" s="17"/>
      <x:c r="L1564" s="17"/>
      <x:c r="M1564" s="17"/>
      <x:c r="N1564" s="22"/>
      <x:c r="O1564" s="17"/>
    </x:row>
    <x:row r="1565">
      <x:c r="A1565" s="17"/>
      <x:c r="B1565" s="20"/>
      <x:c r="C1565" s="21"/>
      <x:c r="D1565" s="17"/>
      <x:c r="E1565" s="17"/>
      <x:c r="F1565" s="17"/>
      <x:c r="G1565" s="17"/>
      <x:c r="H1565" s="17"/>
      <x:c r="I1565" s="17"/>
      <x:c r="J1565" s="17"/>
      <x:c r="K1565" s="17"/>
      <x:c r="L1565" s="17"/>
      <x:c r="M1565" s="17"/>
      <x:c r="N1565" s="22"/>
      <x:c r="O1565" s="17"/>
    </x:row>
    <x:row r="1566">
      <x:c r="A1566" s="17"/>
      <x:c r="B1566" s="20"/>
      <x:c r="C1566" s="21"/>
      <x:c r="D1566" s="17"/>
      <x:c r="E1566" s="17"/>
      <x:c r="F1566" s="17"/>
      <x:c r="G1566" s="17"/>
      <x:c r="H1566" s="17"/>
      <x:c r="I1566" s="17"/>
      <x:c r="J1566" s="17"/>
      <x:c r="K1566" s="17"/>
      <x:c r="L1566" s="17"/>
      <x:c r="M1566" s="17"/>
      <x:c r="N1566" s="22"/>
      <x:c r="O1566" s="17"/>
    </x:row>
    <x:row r="1567">
      <x:c r="A1567" s="17"/>
      <x:c r="B1567" s="20"/>
      <x:c r="C1567" s="21"/>
      <x:c r="D1567" s="17"/>
      <x:c r="E1567" s="17"/>
      <x:c r="F1567" s="17"/>
      <x:c r="G1567" s="17"/>
      <x:c r="H1567" s="17"/>
      <x:c r="I1567" s="17"/>
      <x:c r="J1567" s="17"/>
      <x:c r="K1567" s="17"/>
      <x:c r="L1567" s="17"/>
      <x:c r="M1567" s="17"/>
      <x:c r="N1567" s="22"/>
      <x:c r="O1567" s="17"/>
    </x:row>
    <x:row r="1568">
      <x:c r="A1568" s="17"/>
      <x:c r="B1568" s="20"/>
      <x:c r="C1568" s="21"/>
      <x:c r="D1568" s="17"/>
      <x:c r="E1568" s="17"/>
      <x:c r="F1568" s="17"/>
      <x:c r="G1568" s="17"/>
      <x:c r="H1568" s="17"/>
      <x:c r="I1568" s="17"/>
      <x:c r="J1568" s="17"/>
      <x:c r="K1568" s="17"/>
      <x:c r="L1568" s="17"/>
      <x:c r="M1568" s="17"/>
      <x:c r="N1568" s="22"/>
      <x:c r="O1568" s="17"/>
    </x:row>
    <x:row r="1569">
      <x:c r="A1569" s="17"/>
      <x:c r="B1569" s="20"/>
      <x:c r="C1569" s="21"/>
      <x:c r="D1569" s="17"/>
      <x:c r="E1569" s="17"/>
      <x:c r="F1569" s="17"/>
      <x:c r="G1569" s="17"/>
      <x:c r="H1569" s="17"/>
      <x:c r="I1569" s="17"/>
      <x:c r="J1569" s="17"/>
      <x:c r="K1569" s="17"/>
      <x:c r="L1569" s="17"/>
      <x:c r="M1569" s="17"/>
      <x:c r="N1569" s="22"/>
      <x:c r="O1569" s="17"/>
    </x:row>
    <x:row r="1570">
      <x:c r="A1570" s="17"/>
      <x:c r="B1570" s="20"/>
      <x:c r="C1570" s="21"/>
      <x:c r="D1570" s="17"/>
      <x:c r="E1570" s="17"/>
      <x:c r="F1570" s="17"/>
      <x:c r="G1570" s="17"/>
      <x:c r="H1570" s="17"/>
      <x:c r="I1570" s="17"/>
      <x:c r="J1570" s="17"/>
      <x:c r="K1570" s="17"/>
      <x:c r="L1570" s="17"/>
      <x:c r="M1570" s="17"/>
      <x:c r="N1570" s="22"/>
      <x:c r="O1570" s="17"/>
    </x:row>
    <x:row r="1571">
      <x:c r="A1571" s="17"/>
      <x:c r="B1571" s="20"/>
      <x:c r="C1571" s="21"/>
      <x:c r="D1571" s="17"/>
      <x:c r="E1571" s="17"/>
      <x:c r="F1571" s="17"/>
      <x:c r="G1571" s="17"/>
      <x:c r="H1571" s="17"/>
      <x:c r="I1571" s="17"/>
      <x:c r="J1571" s="17"/>
      <x:c r="K1571" s="17"/>
      <x:c r="L1571" s="17"/>
      <x:c r="M1571" s="17"/>
      <x:c r="N1571" s="22"/>
      <x:c r="O1571" s="17"/>
    </x:row>
    <x:row r="1572">
      <x:c r="A1572" s="17"/>
      <x:c r="B1572" s="20"/>
      <x:c r="C1572" s="21"/>
      <x:c r="D1572" s="17"/>
      <x:c r="E1572" s="17"/>
      <x:c r="F1572" s="17"/>
      <x:c r="G1572" s="17"/>
      <x:c r="H1572" s="17"/>
      <x:c r="I1572" s="17"/>
      <x:c r="J1572" s="17"/>
      <x:c r="K1572" s="17"/>
      <x:c r="L1572" s="17"/>
      <x:c r="M1572" s="17"/>
      <x:c r="N1572" s="22"/>
      <x:c r="O1572" s="17"/>
    </x:row>
    <x:row r="1573">
      <x:c r="A1573" s="17"/>
      <x:c r="B1573" s="20"/>
      <x:c r="C1573" s="21"/>
      <x:c r="D1573" s="17"/>
      <x:c r="E1573" s="17"/>
      <x:c r="F1573" s="17"/>
      <x:c r="G1573" s="17"/>
      <x:c r="H1573" s="17"/>
      <x:c r="I1573" s="17"/>
      <x:c r="J1573" s="17"/>
      <x:c r="K1573" s="17"/>
      <x:c r="L1573" s="17"/>
      <x:c r="M1573" s="17"/>
      <x:c r="N1573" s="22"/>
      <x:c r="O1573" s="17"/>
    </x:row>
    <x:row r="1574">
      <x:c r="A1574" s="17"/>
      <x:c r="B1574" s="20"/>
      <x:c r="C1574" s="21"/>
      <x:c r="D1574" s="17"/>
      <x:c r="E1574" s="17"/>
      <x:c r="F1574" s="17"/>
      <x:c r="G1574" s="17"/>
      <x:c r="H1574" s="17"/>
      <x:c r="I1574" s="17"/>
      <x:c r="J1574" s="17"/>
      <x:c r="K1574" s="17"/>
      <x:c r="L1574" s="17"/>
      <x:c r="M1574" s="17"/>
      <x:c r="N1574" s="22"/>
      <x:c r="O1574" s="17"/>
    </x:row>
    <x:row r="1575">
      <x:c r="A1575" s="17"/>
      <x:c r="B1575" s="20"/>
      <x:c r="C1575" s="21"/>
      <x:c r="D1575" s="17"/>
      <x:c r="E1575" s="17"/>
      <x:c r="F1575" s="17"/>
      <x:c r="G1575" s="17"/>
      <x:c r="H1575" s="17"/>
      <x:c r="I1575" s="17"/>
      <x:c r="J1575" s="17"/>
      <x:c r="K1575" s="17"/>
      <x:c r="L1575" s="17"/>
      <x:c r="M1575" s="17"/>
      <x:c r="N1575" s="22"/>
      <x:c r="O1575" s="17"/>
    </x:row>
    <x:row r="1576">
      <x:c r="A1576" s="17"/>
      <x:c r="B1576" s="20"/>
      <x:c r="C1576" s="21"/>
      <x:c r="D1576" s="17"/>
      <x:c r="E1576" s="17"/>
      <x:c r="F1576" s="17"/>
      <x:c r="G1576" s="17"/>
      <x:c r="H1576" s="17"/>
      <x:c r="I1576" s="17"/>
      <x:c r="J1576" s="17"/>
      <x:c r="K1576" s="17"/>
      <x:c r="L1576" s="17"/>
      <x:c r="M1576" s="17"/>
      <x:c r="N1576" s="22"/>
      <x:c r="O1576" s="17"/>
    </x:row>
    <x:row r="1577">
      <x:c r="A1577" s="17"/>
      <x:c r="B1577" s="20"/>
      <x:c r="C1577" s="21"/>
      <x:c r="D1577" s="17"/>
      <x:c r="E1577" s="17"/>
      <x:c r="F1577" s="17"/>
      <x:c r="G1577" s="17"/>
      <x:c r="H1577" s="17"/>
      <x:c r="I1577" s="17"/>
      <x:c r="J1577" s="17"/>
      <x:c r="K1577" s="17"/>
      <x:c r="L1577" s="17"/>
      <x:c r="M1577" s="17"/>
      <x:c r="N1577" s="22"/>
      <x:c r="O1577" s="17"/>
    </x:row>
    <x:row r="1578">
      <x:c r="A1578" s="17"/>
      <x:c r="B1578" s="20"/>
      <x:c r="C1578" s="21"/>
      <x:c r="D1578" s="17"/>
      <x:c r="E1578" s="17"/>
      <x:c r="F1578" s="17"/>
      <x:c r="G1578" s="17"/>
      <x:c r="H1578" s="17"/>
      <x:c r="I1578" s="17"/>
      <x:c r="J1578" s="17"/>
      <x:c r="K1578" s="17"/>
      <x:c r="L1578" s="17"/>
      <x:c r="M1578" s="17"/>
      <x:c r="N1578" s="22"/>
      <x:c r="O1578" s="17"/>
    </x:row>
    <x:row r="1579">
      <x:c r="A1579" s="17"/>
      <x:c r="B1579" s="20"/>
      <x:c r="C1579" s="21"/>
      <x:c r="D1579" s="17"/>
      <x:c r="E1579" s="17"/>
      <x:c r="F1579" s="17"/>
      <x:c r="G1579" s="17"/>
      <x:c r="H1579" s="17"/>
      <x:c r="I1579" s="17"/>
      <x:c r="J1579" s="17"/>
      <x:c r="K1579" s="17"/>
      <x:c r="L1579" s="17"/>
      <x:c r="M1579" s="17"/>
      <x:c r="N1579" s="22"/>
      <x:c r="O1579" s="17"/>
    </x:row>
    <x:row r="1580">
      <x:c r="A1580" s="17"/>
      <x:c r="B1580" s="20"/>
      <x:c r="C1580" s="21"/>
      <x:c r="D1580" s="17"/>
      <x:c r="E1580" s="17"/>
      <x:c r="F1580" s="17"/>
      <x:c r="G1580" s="17"/>
      <x:c r="H1580" s="17"/>
      <x:c r="I1580" s="17"/>
      <x:c r="J1580" s="17"/>
      <x:c r="K1580" s="17"/>
      <x:c r="L1580" s="17"/>
      <x:c r="M1580" s="17"/>
      <x:c r="N1580" s="22"/>
      <x:c r="O1580" s="17"/>
    </x:row>
    <x:row r="1581">
      <x:c r="A1581" s="17"/>
      <x:c r="B1581" s="20"/>
      <x:c r="C1581" s="21"/>
      <x:c r="D1581" s="17"/>
      <x:c r="E1581" s="17"/>
      <x:c r="F1581" s="17"/>
      <x:c r="G1581" s="17"/>
      <x:c r="H1581" s="17"/>
      <x:c r="I1581" s="17"/>
      <x:c r="J1581" s="17"/>
      <x:c r="K1581" s="17"/>
      <x:c r="L1581" s="17"/>
      <x:c r="M1581" s="17"/>
      <x:c r="N1581" s="22"/>
      <x:c r="O1581" s="17"/>
    </x:row>
    <x:row r="1582">
      <x:c r="A1582" s="17"/>
      <x:c r="B1582" s="20"/>
      <x:c r="C1582" s="21"/>
      <x:c r="D1582" s="17"/>
      <x:c r="E1582" s="17"/>
      <x:c r="F1582" s="17"/>
      <x:c r="G1582" s="17"/>
      <x:c r="H1582" s="17"/>
      <x:c r="I1582" s="17"/>
      <x:c r="J1582" s="17"/>
      <x:c r="K1582" s="17"/>
      <x:c r="L1582" s="17"/>
      <x:c r="M1582" s="17"/>
      <x:c r="N1582" s="22"/>
      <x:c r="O1582" s="17"/>
    </x:row>
    <x:row r="1583">
      <x:c r="A1583" s="17"/>
      <x:c r="B1583" s="20"/>
      <x:c r="C1583" s="21"/>
      <x:c r="D1583" s="17"/>
      <x:c r="E1583" s="17"/>
      <x:c r="F1583" s="17"/>
      <x:c r="G1583" s="17"/>
      <x:c r="H1583" s="17"/>
      <x:c r="I1583" s="17"/>
      <x:c r="J1583" s="17"/>
      <x:c r="K1583" s="17"/>
      <x:c r="L1583" s="17"/>
      <x:c r="M1583" s="17"/>
      <x:c r="N1583" s="22"/>
      <x:c r="O1583" s="17"/>
    </x:row>
    <x:row r="1584">
      <x:c r="A1584" s="17"/>
      <x:c r="B1584" s="20"/>
      <x:c r="C1584" s="21"/>
      <x:c r="D1584" s="17"/>
      <x:c r="E1584" s="17"/>
      <x:c r="F1584" s="17"/>
      <x:c r="G1584" s="17"/>
      <x:c r="H1584" s="17"/>
      <x:c r="I1584" s="17"/>
      <x:c r="J1584" s="17"/>
      <x:c r="K1584" s="17"/>
      <x:c r="L1584" s="17"/>
      <x:c r="M1584" s="17"/>
      <x:c r="N1584" s="22"/>
      <x:c r="O1584" s="17"/>
    </x:row>
    <x:row r="1585">
      <x:c r="A1585" s="17"/>
      <x:c r="B1585" s="20"/>
      <x:c r="C1585" s="21"/>
      <x:c r="D1585" s="17"/>
      <x:c r="E1585" s="17"/>
      <x:c r="F1585" s="17"/>
      <x:c r="G1585" s="17"/>
      <x:c r="H1585" s="17"/>
      <x:c r="I1585" s="17"/>
      <x:c r="J1585" s="17"/>
      <x:c r="K1585" s="17"/>
      <x:c r="L1585" s="17"/>
      <x:c r="M1585" s="17"/>
      <x:c r="N1585" s="22"/>
      <x:c r="O1585" s="17"/>
    </x:row>
    <x:row r="1586">
      <x:c r="A1586" s="17"/>
      <x:c r="B1586" s="20"/>
      <x:c r="C1586" s="21"/>
      <x:c r="D1586" s="17"/>
      <x:c r="E1586" s="17"/>
      <x:c r="F1586" s="17"/>
      <x:c r="G1586" s="17"/>
      <x:c r="H1586" s="17"/>
      <x:c r="I1586" s="17"/>
      <x:c r="J1586" s="17"/>
      <x:c r="K1586" s="17"/>
      <x:c r="L1586" s="17"/>
      <x:c r="M1586" s="17"/>
      <x:c r="N1586" s="22"/>
      <x:c r="O1586" s="17"/>
    </x:row>
    <x:row r="1587">
      <x:c r="A1587" s="17"/>
      <x:c r="B1587" s="20"/>
      <x:c r="C1587" s="21"/>
      <x:c r="D1587" s="17"/>
      <x:c r="E1587" s="17"/>
      <x:c r="F1587" s="17"/>
      <x:c r="G1587" s="17"/>
      <x:c r="H1587" s="17"/>
      <x:c r="I1587" s="17"/>
      <x:c r="J1587" s="17"/>
      <x:c r="K1587" s="17"/>
      <x:c r="L1587" s="17"/>
      <x:c r="M1587" s="17"/>
      <x:c r="N1587" s="22"/>
      <x:c r="O1587" s="17"/>
    </x:row>
    <x:row r="1588">
      <x:c r="A1588" s="17"/>
      <x:c r="B1588" s="20"/>
      <x:c r="C1588" s="21"/>
      <x:c r="D1588" s="17"/>
      <x:c r="E1588" s="17"/>
      <x:c r="F1588" s="17"/>
      <x:c r="G1588" s="17"/>
      <x:c r="H1588" s="17"/>
      <x:c r="I1588" s="17"/>
      <x:c r="J1588" s="17"/>
      <x:c r="K1588" s="17"/>
      <x:c r="L1588" s="17"/>
      <x:c r="M1588" s="17"/>
      <x:c r="N1588" s="22"/>
      <x:c r="O1588" s="17"/>
    </x:row>
    <x:row r="1589">
      <x:c r="A1589" s="17"/>
      <x:c r="B1589" s="20"/>
      <x:c r="C1589" s="21"/>
      <x:c r="D1589" s="17"/>
      <x:c r="E1589" s="17"/>
      <x:c r="F1589" s="17"/>
      <x:c r="G1589" s="17"/>
      <x:c r="H1589" s="17"/>
      <x:c r="I1589" s="17"/>
      <x:c r="J1589" s="17"/>
      <x:c r="K1589" s="17"/>
      <x:c r="L1589" s="17"/>
      <x:c r="M1589" s="17"/>
      <x:c r="N1589" s="22"/>
      <x:c r="O1589" s="17"/>
    </x:row>
    <x:row r="1590">
      <x:c r="A1590" s="17"/>
      <x:c r="B1590" s="20"/>
      <x:c r="C1590" s="21"/>
      <x:c r="D1590" s="17"/>
      <x:c r="E1590" s="17"/>
      <x:c r="F1590" s="17"/>
      <x:c r="G1590" s="17"/>
      <x:c r="H1590" s="17"/>
      <x:c r="I1590" s="17"/>
      <x:c r="J1590" s="17"/>
      <x:c r="K1590" s="17"/>
      <x:c r="L1590" s="17"/>
      <x:c r="M1590" s="17"/>
      <x:c r="N1590" s="22"/>
      <x:c r="O1590" s="17"/>
    </x:row>
    <x:row r="1591">
      <x:c r="A1591" s="17"/>
      <x:c r="B1591" s="20"/>
      <x:c r="C1591" s="21"/>
      <x:c r="D1591" s="17"/>
      <x:c r="E1591" s="17"/>
      <x:c r="F1591" s="17"/>
      <x:c r="G1591" s="17"/>
      <x:c r="H1591" s="17"/>
      <x:c r="I1591" s="17"/>
      <x:c r="J1591" s="17"/>
      <x:c r="K1591" s="17"/>
      <x:c r="L1591" s="17"/>
      <x:c r="M1591" s="17"/>
      <x:c r="N1591" s="22"/>
      <x:c r="O1591" s="17"/>
    </x:row>
    <x:row r="1592">
      <x:c r="A1592" s="17"/>
      <x:c r="B1592" s="20"/>
      <x:c r="C1592" s="21"/>
      <x:c r="D1592" s="17"/>
      <x:c r="E1592" s="17"/>
      <x:c r="F1592" s="17"/>
      <x:c r="G1592" s="17"/>
      <x:c r="H1592" s="17"/>
      <x:c r="I1592" s="17"/>
      <x:c r="J1592" s="17"/>
      <x:c r="K1592" s="17"/>
      <x:c r="L1592" s="17"/>
      <x:c r="M1592" s="17"/>
      <x:c r="N1592" s="22"/>
      <x:c r="O1592" s="17"/>
    </x:row>
    <x:row r="1593">
      <x:c r="A1593" s="17"/>
      <x:c r="B1593" s="20"/>
      <x:c r="C1593" s="21"/>
      <x:c r="D1593" s="17"/>
      <x:c r="E1593" s="17"/>
      <x:c r="F1593" s="17"/>
      <x:c r="G1593" s="17"/>
      <x:c r="H1593" s="17"/>
      <x:c r="I1593" s="17"/>
      <x:c r="J1593" s="17"/>
      <x:c r="K1593" s="17"/>
      <x:c r="L1593" s="17"/>
      <x:c r="M1593" s="17"/>
      <x:c r="N1593" s="22"/>
      <x:c r="O1593" s="17"/>
    </x:row>
    <x:row r="1594">
      <x:c r="A1594" s="17"/>
      <x:c r="B1594" s="20"/>
      <x:c r="C1594" s="21"/>
      <x:c r="D1594" s="17"/>
      <x:c r="E1594" s="17"/>
      <x:c r="F1594" s="17"/>
      <x:c r="G1594" s="17"/>
      <x:c r="H1594" s="17"/>
      <x:c r="I1594" s="17"/>
      <x:c r="J1594" s="17"/>
      <x:c r="K1594" s="17"/>
      <x:c r="L1594" s="17"/>
      <x:c r="M1594" s="17"/>
      <x:c r="N1594" s="22"/>
      <x:c r="O1594" s="17"/>
    </x:row>
    <x:row r="1595">
      <x:c r="A1595" s="17"/>
      <x:c r="B1595" s="20"/>
      <x:c r="C1595" s="21"/>
      <x:c r="D1595" s="17"/>
      <x:c r="E1595" s="17"/>
      <x:c r="F1595" s="17"/>
      <x:c r="G1595" s="17"/>
      <x:c r="H1595" s="17"/>
      <x:c r="I1595" s="17"/>
      <x:c r="J1595" s="17"/>
      <x:c r="K1595" s="17"/>
      <x:c r="L1595" s="17"/>
      <x:c r="M1595" s="17"/>
      <x:c r="N1595" s="22"/>
      <x:c r="O1595" s="17"/>
    </x:row>
    <x:row r="1596">
      <x:c r="A1596" s="17"/>
      <x:c r="B1596" s="20"/>
      <x:c r="C1596" s="21"/>
      <x:c r="D1596" s="17"/>
      <x:c r="E1596" s="17"/>
      <x:c r="F1596" s="17"/>
      <x:c r="G1596" s="17"/>
      <x:c r="H1596" s="17"/>
      <x:c r="I1596" s="17"/>
      <x:c r="J1596" s="17"/>
      <x:c r="K1596" s="17"/>
      <x:c r="L1596" s="17"/>
      <x:c r="M1596" s="17"/>
      <x:c r="N1596" s="22"/>
      <x:c r="O1596" s="17"/>
    </x:row>
    <x:row r="1597">
      <x:c r="A1597" s="17"/>
      <x:c r="B1597" s="20"/>
      <x:c r="C1597" s="21"/>
      <x:c r="D1597" s="17"/>
      <x:c r="E1597" s="17"/>
      <x:c r="F1597" s="17"/>
      <x:c r="G1597" s="17"/>
      <x:c r="H1597" s="17"/>
      <x:c r="I1597" s="17"/>
      <x:c r="J1597" s="17"/>
      <x:c r="K1597" s="17"/>
      <x:c r="L1597" s="17"/>
      <x:c r="M1597" s="17"/>
      <x:c r="N1597" s="22"/>
      <x:c r="O1597" s="17"/>
    </x:row>
    <x:row r="1598">
      <x:c r="A1598" s="17"/>
      <x:c r="B1598" s="20"/>
      <x:c r="C1598" s="21"/>
      <x:c r="D1598" s="17"/>
      <x:c r="E1598" s="17"/>
      <x:c r="F1598" s="17"/>
      <x:c r="G1598" s="17"/>
      <x:c r="H1598" s="17"/>
      <x:c r="I1598" s="17"/>
      <x:c r="J1598" s="17"/>
      <x:c r="K1598" s="17"/>
      <x:c r="L1598" s="17"/>
      <x:c r="M1598" s="17"/>
      <x:c r="N1598" s="22"/>
      <x:c r="O1598" s="17"/>
    </x:row>
    <x:row r="1599">
      <x:c r="A1599" s="17"/>
      <x:c r="B1599" s="20"/>
      <x:c r="C1599" s="21"/>
      <x:c r="D1599" s="17"/>
      <x:c r="E1599" s="17"/>
      <x:c r="F1599" s="17"/>
      <x:c r="G1599" s="17"/>
      <x:c r="H1599" s="17"/>
      <x:c r="I1599" s="17"/>
      <x:c r="J1599" s="17"/>
      <x:c r="K1599" s="17"/>
      <x:c r="L1599" s="17"/>
      <x:c r="M1599" s="17"/>
      <x:c r="N1599" s="22"/>
      <x:c r="O1599" s="17"/>
    </x:row>
    <x:row r="1600">
      <x:c r="A1600" s="17"/>
      <x:c r="B1600" s="20"/>
      <x:c r="C1600" s="21"/>
      <x:c r="D1600" s="17"/>
      <x:c r="E1600" s="17"/>
      <x:c r="F1600" s="17"/>
      <x:c r="G1600" s="17"/>
      <x:c r="H1600" s="17"/>
      <x:c r="I1600" s="17"/>
      <x:c r="J1600" s="17"/>
      <x:c r="K1600" s="17"/>
      <x:c r="L1600" s="17"/>
      <x:c r="M1600" s="17"/>
      <x:c r="N1600" s="22"/>
      <x:c r="O1600" s="17"/>
    </x:row>
    <x:row r="1601">
      <x:c r="A1601" s="17"/>
      <x:c r="B1601" s="20"/>
      <x:c r="C1601" s="21"/>
      <x:c r="D1601" s="17"/>
      <x:c r="E1601" s="17"/>
      <x:c r="F1601" s="17"/>
      <x:c r="G1601" s="17"/>
      <x:c r="H1601" s="17"/>
      <x:c r="I1601" s="17"/>
      <x:c r="J1601" s="17"/>
      <x:c r="K1601" s="17"/>
      <x:c r="L1601" s="17"/>
      <x:c r="M1601" s="17"/>
      <x:c r="N1601" s="22"/>
      <x:c r="O1601" s="17"/>
    </x:row>
    <x:row r="1602">
      <x:c r="A1602" s="17"/>
      <x:c r="B1602" s="20"/>
      <x:c r="C1602" s="21"/>
      <x:c r="D1602" s="17"/>
      <x:c r="E1602" s="17"/>
      <x:c r="F1602" s="17"/>
      <x:c r="G1602" s="17"/>
      <x:c r="H1602" s="17"/>
      <x:c r="I1602" s="17"/>
      <x:c r="J1602" s="17"/>
      <x:c r="K1602" s="17"/>
      <x:c r="L1602" s="17"/>
      <x:c r="M1602" s="17"/>
      <x:c r="N1602" s="22"/>
      <x:c r="O1602" s="17"/>
    </x:row>
    <x:row r="1603">
      <x:c r="A1603" s="17"/>
      <x:c r="B1603" s="20"/>
      <x:c r="C1603" s="21"/>
      <x:c r="D1603" s="17"/>
      <x:c r="E1603" s="17"/>
      <x:c r="F1603" s="17"/>
      <x:c r="G1603" s="17"/>
      <x:c r="H1603" s="17"/>
      <x:c r="I1603" s="17"/>
      <x:c r="J1603" s="17"/>
      <x:c r="K1603" s="17"/>
      <x:c r="L1603" s="17"/>
      <x:c r="M1603" s="17"/>
      <x:c r="N1603" s="22"/>
      <x:c r="O1603" s="17"/>
    </x:row>
    <x:row r="1604">
      <x:c r="A1604" s="17"/>
      <x:c r="B1604" s="20"/>
      <x:c r="C1604" s="21"/>
      <x:c r="D1604" s="17"/>
      <x:c r="E1604" s="17"/>
      <x:c r="F1604" s="17"/>
      <x:c r="G1604" s="17"/>
      <x:c r="H1604" s="17"/>
      <x:c r="I1604" s="17"/>
      <x:c r="J1604" s="17"/>
      <x:c r="K1604" s="17"/>
      <x:c r="L1604" s="17"/>
      <x:c r="M1604" s="17"/>
      <x:c r="N1604" s="22"/>
      <x:c r="O1604" s="17"/>
    </x:row>
    <x:row r="1605">
      <x:c r="A1605" s="17"/>
      <x:c r="B1605" s="20"/>
      <x:c r="C1605" s="21"/>
      <x:c r="D1605" s="17"/>
      <x:c r="E1605" s="17"/>
      <x:c r="F1605" s="17"/>
      <x:c r="G1605" s="17"/>
      <x:c r="H1605" s="17"/>
      <x:c r="I1605" s="17"/>
      <x:c r="J1605" s="17"/>
      <x:c r="K1605" s="17"/>
      <x:c r="L1605" s="17"/>
      <x:c r="M1605" s="17"/>
      <x:c r="N1605" s="22"/>
      <x:c r="O1605" s="17"/>
    </x:row>
    <x:row r="1606">
      <x:c r="A1606" s="17"/>
      <x:c r="B1606" s="20"/>
      <x:c r="C1606" s="21"/>
      <x:c r="D1606" s="17"/>
      <x:c r="E1606" s="17"/>
      <x:c r="F1606" s="17"/>
      <x:c r="G1606" s="17"/>
      <x:c r="H1606" s="17"/>
      <x:c r="I1606" s="17"/>
      <x:c r="J1606" s="17"/>
      <x:c r="K1606" s="17"/>
      <x:c r="L1606" s="17"/>
      <x:c r="M1606" s="17"/>
      <x:c r="N1606" s="22"/>
      <x:c r="O1606" s="17"/>
    </x:row>
    <x:row r="1607">
      <x:c r="A1607" s="17"/>
      <x:c r="B1607" s="20"/>
      <x:c r="C1607" s="21"/>
      <x:c r="D1607" s="17"/>
      <x:c r="E1607" s="17"/>
      <x:c r="F1607" s="17"/>
      <x:c r="G1607" s="17"/>
      <x:c r="H1607" s="17"/>
      <x:c r="I1607" s="17"/>
      <x:c r="J1607" s="17"/>
      <x:c r="K1607" s="17"/>
      <x:c r="L1607" s="17"/>
      <x:c r="M1607" s="17"/>
      <x:c r="N1607" s="22"/>
      <x:c r="O1607" s="17"/>
    </x:row>
    <x:row r="1608">
      <x:c r="A1608" s="17"/>
      <x:c r="B1608" s="20"/>
      <x:c r="C1608" s="21"/>
      <x:c r="D1608" s="17"/>
      <x:c r="E1608" s="17"/>
      <x:c r="F1608" s="17"/>
      <x:c r="G1608" s="17"/>
      <x:c r="H1608" s="17"/>
      <x:c r="I1608" s="17"/>
      <x:c r="J1608" s="17"/>
      <x:c r="K1608" s="17"/>
      <x:c r="L1608" s="17"/>
      <x:c r="M1608" s="17"/>
      <x:c r="N1608" s="22"/>
      <x:c r="O1608" s="17"/>
    </x:row>
    <x:row r="1609">
      <x:c r="A1609" s="17"/>
      <x:c r="B1609" s="20"/>
      <x:c r="C1609" s="21"/>
      <x:c r="D1609" s="17"/>
      <x:c r="E1609" s="17"/>
      <x:c r="F1609" s="17"/>
      <x:c r="G1609" s="17"/>
      <x:c r="H1609" s="17"/>
      <x:c r="I1609" s="17"/>
      <x:c r="J1609" s="17"/>
      <x:c r="K1609" s="17"/>
      <x:c r="L1609" s="17"/>
      <x:c r="M1609" s="17"/>
      <x:c r="N1609" s="22"/>
      <x:c r="O1609" s="17"/>
    </x:row>
    <x:row r="1610">
      <x:c r="A1610" s="17"/>
      <x:c r="B1610" s="20"/>
      <x:c r="C1610" s="21"/>
      <x:c r="D1610" s="17"/>
      <x:c r="E1610" s="17"/>
      <x:c r="F1610" s="17"/>
      <x:c r="G1610" s="17"/>
      <x:c r="H1610" s="17"/>
      <x:c r="I1610" s="17"/>
      <x:c r="J1610" s="17"/>
      <x:c r="K1610" s="17"/>
      <x:c r="L1610" s="17"/>
      <x:c r="M1610" s="17"/>
      <x:c r="N1610" s="22"/>
      <x:c r="O1610" s="17"/>
    </x:row>
    <x:row r="1611">
      <x:c r="A1611" s="17"/>
      <x:c r="B1611" s="20"/>
      <x:c r="C1611" s="21"/>
      <x:c r="D1611" s="17"/>
      <x:c r="E1611" s="17"/>
      <x:c r="F1611" s="17"/>
      <x:c r="G1611" s="17"/>
      <x:c r="H1611" s="17"/>
      <x:c r="I1611" s="17"/>
      <x:c r="J1611" s="17"/>
      <x:c r="K1611" s="17"/>
      <x:c r="L1611" s="17"/>
      <x:c r="M1611" s="17"/>
      <x:c r="N1611" s="22"/>
      <x:c r="O1611" s="17"/>
    </x:row>
    <x:row r="1612">
      <x:c r="A1612" s="17"/>
      <x:c r="B1612" s="20"/>
      <x:c r="C1612" s="21"/>
      <x:c r="D1612" s="17"/>
      <x:c r="E1612" s="17"/>
      <x:c r="F1612" s="17"/>
      <x:c r="G1612" s="17"/>
      <x:c r="H1612" s="17"/>
      <x:c r="I1612" s="17"/>
      <x:c r="J1612" s="17"/>
      <x:c r="K1612" s="17"/>
      <x:c r="L1612" s="17"/>
      <x:c r="M1612" s="17"/>
      <x:c r="N1612" s="22"/>
      <x:c r="O1612" s="17"/>
    </x:row>
    <x:row r="1613">
      <x:c r="A1613" s="17"/>
      <x:c r="B1613" s="20"/>
      <x:c r="C1613" s="21"/>
      <x:c r="D1613" s="17"/>
      <x:c r="E1613" s="17"/>
      <x:c r="F1613" s="17"/>
      <x:c r="G1613" s="17"/>
      <x:c r="H1613" s="17"/>
      <x:c r="I1613" s="17"/>
      <x:c r="J1613" s="17"/>
      <x:c r="K1613" s="17"/>
      <x:c r="L1613" s="17"/>
      <x:c r="M1613" s="17"/>
      <x:c r="N1613" s="22"/>
      <x:c r="O1613" s="17"/>
    </x:row>
    <x:row r="1614">
      <x:c r="A1614" s="17"/>
      <x:c r="B1614" s="20"/>
      <x:c r="C1614" s="21"/>
      <x:c r="D1614" s="17"/>
      <x:c r="E1614" s="17"/>
      <x:c r="F1614" s="17"/>
      <x:c r="G1614" s="17"/>
      <x:c r="H1614" s="17"/>
      <x:c r="I1614" s="17"/>
      <x:c r="J1614" s="17"/>
      <x:c r="K1614" s="17"/>
      <x:c r="L1614" s="17"/>
      <x:c r="M1614" s="17"/>
      <x:c r="N1614" s="22"/>
      <x:c r="O1614" s="17"/>
    </x:row>
    <x:row r="1615">
      <x:c r="A1615" s="17"/>
      <x:c r="B1615" s="20"/>
      <x:c r="C1615" s="21"/>
      <x:c r="D1615" s="17"/>
      <x:c r="E1615" s="17"/>
      <x:c r="F1615" s="17"/>
      <x:c r="G1615" s="17"/>
      <x:c r="H1615" s="17"/>
      <x:c r="I1615" s="17"/>
      <x:c r="J1615" s="17"/>
      <x:c r="K1615" s="17"/>
      <x:c r="L1615" s="17"/>
      <x:c r="M1615" s="17"/>
      <x:c r="N1615" s="22"/>
      <x:c r="O1615" s="17"/>
    </x:row>
    <x:row r="1616">
      <x:c r="A1616" s="17"/>
      <x:c r="B1616" s="20"/>
      <x:c r="C1616" s="21"/>
      <x:c r="D1616" s="17"/>
      <x:c r="E1616" s="17"/>
      <x:c r="F1616" s="17"/>
      <x:c r="G1616" s="17"/>
      <x:c r="H1616" s="17"/>
      <x:c r="I1616" s="17"/>
      <x:c r="J1616" s="17"/>
      <x:c r="K1616" s="17"/>
      <x:c r="L1616" s="17"/>
      <x:c r="M1616" s="17"/>
      <x:c r="N1616" s="22"/>
      <x:c r="O1616" s="17"/>
    </x:row>
    <x:row r="1617">
      <x:c r="A1617" s="17"/>
      <x:c r="B1617" s="20"/>
      <x:c r="C1617" s="21"/>
      <x:c r="D1617" s="17"/>
      <x:c r="E1617" s="17"/>
      <x:c r="F1617" s="17"/>
      <x:c r="G1617" s="17"/>
      <x:c r="H1617" s="17"/>
      <x:c r="I1617" s="17"/>
      <x:c r="J1617" s="17"/>
      <x:c r="K1617" s="17"/>
      <x:c r="L1617" s="17"/>
      <x:c r="M1617" s="17"/>
      <x:c r="N1617" s="22"/>
      <x:c r="O1617" s="17"/>
    </x:row>
    <x:row r="1618">
      <x:c r="A1618" s="17"/>
      <x:c r="B1618" s="20"/>
      <x:c r="C1618" s="21"/>
      <x:c r="D1618" s="17"/>
      <x:c r="E1618" s="17"/>
      <x:c r="F1618" s="17"/>
      <x:c r="G1618" s="17"/>
      <x:c r="H1618" s="17"/>
      <x:c r="I1618" s="17"/>
      <x:c r="J1618" s="17"/>
      <x:c r="K1618" s="17"/>
      <x:c r="L1618" s="17"/>
      <x:c r="M1618" s="17"/>
      <x:c r="N1618" s="22"/>
      <x:c r="O1618" s="17"/>
    </x:row>
    <x:row r="1619">
      <x:c r="A1619" s="17"/>
      <x:c r="B1619" s="20"/>
      <x:c r="C1619" s="21"/>
      <x:c r="D1619" s="17"/>
      <x:c r="E1619" s="17"/>
      <x:c r="F1619" s="17"/>
      <x:c r="G1619" s="17"/>
      <x:c r="H1619" s="17"/>
      <x:c r="I1619" s="17"/>
      <x:c r="J1619" s="17"/>
      <x:c r="K1619" s="17"/>
      <x:c r="L1619" s="17"/>
      <x:c r="M1619" s="17"/>
      <x:c r="N1619" s="22"/>
      <x:c r="O1619" s="17"/>
    </x:row>
    <x:row r="1620">
      <x:c r="A1620" s="17"/>
      <x:c r="B1620" s="20"/>
      <x:c r="C1620" s="21"/>
      <x:c r="D1620" s="17"/>
      <x:c r="E1620" s="17"/>
      <x:c r="F1620" s="17"/>
      <x:c r="G1620" s="17"/>
      <x:c r="H1620" s="17"/>
      <x:c r="I1620" s="17"/>
      <x:c r="J1620" s="17"/>
      <x:c r="K1620" s="17"/>
      <x:c r="L1620" s="17"/>
      <x:c r="M1620" s="17"/>
      <x:c r="N1620" s="22"/>
      <x:c r="O1620" s="17"/>
    </x:row>
    <x:row r="1621">
      <x:c r="A1621" s="17"/>
      <x:c r="B1621" s="20"/>
      <x:c r="C1621" s="21"/>
      <x:c r="D1621" s="17"/>
      <x:c r="E1621" s="17"/>
      <x:c r="F1621" s="17"/>
      <x:c r="G1621" s="17"/>
      <x:c r="H1621" s="17"/>
      <x:c r="I1621" s="17"/>
      <x:c r="J1621" s="17"/>
      <x:c r="K1621" s="17"/>
      <x:c r="L1621" s="17"/>
      <x:c r="M1621" s="17"/>
      <x:c r="N1621" s="22"/>
      <x:c r="O1621" s="17"/>
    </x:row>
    <x:row r="1622">
      <x:c r="A1622" s="17"/>
      <x:c r="B1622" s="20"/>
      <x:c r="C1622" s="21"/>
      <x:c r="D1622" s="17"/>
      <x:c r="E1622" s="17"/>
      <x:c r="F1622" s="17"/>
      <x:c r="G1622" s="17"/>
      <x:c r="H1622" s="17"/>
      <x:c r="I1622" s="17"/>
      <x:c r="J1622" s="17"/>
      <x:c r="K1622" s="17"/>
      <x:c r="L1622" s="17"/>
      <x:c r="M1622" s="17"/>
      <x:c r="N1622" s="22"/>
      <x:c r="O1622" s="17"/>
    </x:row>
    <x:row r="1623">
      <x:c r="A1623" s="17"/>
      <x:c r="B1623" s="20"/>
      <x:c r="C1623" s="21"/>
      <x:c r="D1623" s="17"/>
      <x:c r="E1623" s="17"/>
      <x:c r="F1623" s="17"/>
      <x:c r="G1623" s="17"/>
      <x:c r="H1623" s="17"/>
      <x:c r="I1623" s="17"/>
      <x:c r="J1623" s="17"/>
      <x:c r="K1623" s="17"/>
      <x:c r="L1623" s="17"/>
      <x:c r="M1623" s="17"/>
      <x:c r="N1623" s="22"/>
      <x:c r="O1623" s="17"/>
    </x:row>
    <x:row r="1624">
      <x:c r="A1624" s="17"/>
      <x:c r="B1624" s="20"/>
      <x:c r="C1624" s="21"/>
      <x:c r="D1624" s="17"/>
      <x:c r="E1624" s="17"/>
      <x:c r="F1624" s="17"/>
      <x:c r="G1624" s="17"/>
      <x:c r="H1624" s="17"/>
      <x:c r="I1624" s="17"/>
      <x:c r="J1624" s="17"/>
      <x:c r="K1624" s="17"/>
      <x:c r="L1624" s="17"/>
      <x:c r="M1624" s="17"/>
      <x:c r="N1624" s="22"/>
      <x:c r="O1624" s="17"/>
    </x:row>
    <x:row r="1625">
      <x:c r="A1625" s="17"/>
      <x:c r="B1625" s="20"/>
      <x:c r="C1625" s="21"/>
      <x:c r="D1625" s="17"/>
      <x:c r="E1625" s="17"/>
      <x:c r="F1625" s="17"/>
      <x:c r="G1625" s="17"/>
      <x:c r="H1625" s="17"/>
      <x:c r="I1625" s="17"/>
      <x:c r="J1625" s="17"/>
      <x:c r="K1625" s="17"/>
      <x:c r="L1625" s="17"/>
      <x:c r="M1625" s="17"/>
      <x:c r="N1625" s="22"/>
      <x:c r="O1625" s="17"/>
    </x:row>
    <x:row r="1626">
      <x:c r="A1626" s="17"/>
      <x:c r="B1626" s="20"/>
      <x:c r="C1626" s="21"/>
      <x:c r="D1626" s="17"/>
      <x:c r="E1626" s="17"/>
      <x:c r="F1626" s="17"/>
      <x:c r="G1626" s="17"/>
      <x:c r="H1626" s="17"/>
      <x:c r="I1626" s="17"/>
      <x:c r="J1626" s="17"/>
      <x:c r="K1626" s="17"/>
      <x:c r="L1626" s="17"/>
      <x:c r="M1626" s="17"/>
      <x:c r="N1626" s="22"/>
      <x:c r="O1626" s="17"/>
    </x:row>
    <x:row r="1627">
      <x:c r="A1627" s="17"/>
      <x:c r="B1627" s="20"/>
      <x:c r="C1627" s="21"/>
      <x:c r="D1627" s="17"/>
      <x:c r="E1627" s="17"/>
      <x:c r="F1627" s="17"/>
      <x:c r="G1627" s="17"/>
      <x:c r="H1627" s="17"/>
      <x:c r="I1627" s="17"/>
      <x:c r="J1627" s="17"/>
      <x:c r="K1627" s="17"/>
      <x:c r="L1627" s="17"/>
      <x:c r="M1627" s="17"/>
      <x:c r="N1627" s="22"/>
      <x:c r="O1627" s="17"/>
    </x:row>
    <x:row r="1628">
      <x:c r="A1628" s="17"/>
      <x:c r="B1628" s="20"/>
      <x:c r="C1628" s="21"/>
      <x:c r="D1628" s="17"/>
      <x:c r="E1628" s="17"/>
      <x:c r="F1628" s="17"/>
      <x:c r="G1628" s="17"/>
      <x:c r="H1628" s="17"/>
      <x:c r="I1628" s="17"/>
      <x:c r="J1628" s="17"/>
      <x:c r="K1628" s="17"/>
      <x:c r="L1628" s="17"/>
      <x:c r="M1628" s="17"/>
      <x:c r="N1628" s="22"/>
      <x:c r="O1628" s="17"/>
    </x:row>
    <x:row r="1629">
      <x:c r="A1629" s="17"/>
      <x:c r="B1629" s="20"/>
      <x:c r="C1629" s="21"/>
      <x:c r="D1629" s="17"/>
      <x:c r="E1629" s="17"/>
      <x:c r="F1629" s="17"/>
      <x:c r="G1629" s="17"/>
      <x:c r="H1629" s="17"/>
      <x:c r="I1629" s="17"/>
      <x:c r="J1629" s="17"/>
      <x:c r="K1629" s="17"/>
      <x:c r="L1629" s="17"/>
      <x:c r="M1629" s="17"/>
      <x:c r="N1629" s="22"/>
      <x:c r="O1629" s="17"/>
    </x:row>
    <x:row r="1630">
      <x:c r="A1630" s="17"/>
      <x:c r="B1630" s="20"/>
      <x:c r="C1630" s="21"/>
      <x:c r="D1630" s="17"/>
      <x:c r="E1630" s="17"/>
      <x:c r="F1630" s="17"/>
      <x:c r="G1630" s="17"/>
      <x:c r="H1630" s="17"/>
      <x:c r="I1630" s="17"/>
      <x:c r="J1630" s="17"/>
      <x:c r="K1630" s="17"/>
      <x:c r="L1630" s="17"/>
      <x:c r="M1630" s="17"/>
      <x:c r="N1630" s="22"/>
      <x:c r="O1630" s="17"/>
    </x:row>
    <x:row r="1631">
      <x:c r="A1631" s="17"/>
      <x:c r="B1631" s="20"/>
      <x:c r="C1631" s="21"/>
      <x:c r="D1631" s="17"/>
      <x:c r="E1631" s="17"/>
      <x:c r="F1631" s="17"/>
      <x:c r="G1631" s="17"/>
      <x:c r="H1631" s="17"/>
      <x:c r="I1631" s="17"/>
      <x:c r="J1631" s="17"/>
      <x:c r="K1631" s="17"/>
      <x:c r="L1631" s="17"/>
      <x:c r="M1631" s="17"/>
      <x:c r="N1631" s="22"/>
      <x:c r="O1631" s="17"/>
    </x:row>
    <x:row r="1632">
      <x:c r="A1632" s="17"/>
      <x:c r="B1632" s="20"/>
      <x:c r="C1632" s="21"/>
      <x:c r="D1632" s="17"/>
      <x:c r="E1632" s="17"/>
      <x:c r="F1632" s="17"/>
      <x:c r="G1632" s="17"/>
      <x:c r="H1632" s="17"/>
      <x:c r="I1632" s="17"/>
      <x:c r="J1632" s="17"/>
      <x:c r="K1632" s="17"/>
      <x:c r="L1632" s="17"/>
      <x:c r="M1632" s="17"/>
      <x:c r="N1632" s="22"/>
      <x:c r="O1632" s="17"/>
    </x:row>
    <x:row r="1633">
      <x:c r="A1633" s="17"/>
      <x:c r="B1633" s="20"/>
      <x:c r="C1633" s="21"/>
      <x:c r="D1633" s="17"/>
      <x:c r="E1633" s="17"/>
      <x:c r="F1633" s="17"/>
      <x:c r="G1633" s="17"/>
      <x:c r="H1633" s="17"/>
      <x:c r="I1633" s="17"/>
      <x:c r="J1633" s="17"/>
      <x:c r="K1633" s="17"/>
      <x:c r="L1633" s="17"/>
      <x:c r="M1633" s="17"/>
      <x:c r="N1633" s="22"/>
      <x:c r="O1633" s="17"/>
    </x:row>
    <x:row r="1634">
      <x:c r="A1634" s="17"/>
      <x:c r="B1634" s="20"/>
      <x:c r="C1634" s="21"/>
      <x:c r="D1634" s="17"/>
      <x:c r="E1634" s="17"/>
      <x:c r="F1634" s="17"/>
      <x:c r="G1634" s="17"/>
      <x:c r="H1634" s="17"/>
      <x:c r="I1634" s="17"/>
      <x:c r="J1634" s="17"/>
      <x:c r="K1634" s="17"/>
      <x:c r="L1634" s="17"/>
      <x:c r="M1634" s="17"/>
      <x:c r="N1634" s="22"/>
      <x:c r="O1634" s="17"/>
    </x:row>
    <x:row r="1635">
      <x:c r="A1635" s="17"/>
      <x:c r="B1635" s="20"/>
      <x:c r="C1635" s="21"/>
      <x:c r="D1635" s="17"/>
      <x:c r="E1635" s="17"/>
      <x:c r="F1635" s="17"/>
      <x:c r="G1635" s="17"/>
      <x:c r="H1635" s="17"/>
      <x:c r="I1635" s="17"/>
      <x:c r="J1635" s="17"/>
      <x:c r="K1635" s="17"/>
      <x:c r="L1635" s="17"/>
      <x:c r="M1635" s="17"/>
      <x:c r="N1635" s="22"/>
      <x:c r="O1635" s="17"/>
    </x:row>
    <x:row r="1636">
      <x:c r="A1636" s="17"/>
      <x:c r="B1636" s="20"/>
      <x:c r="C1636" s="21"/>
      <x:c r="D1636" s="17"/>
      <x:c r="E1636" s="17"/>
      <x:c r="F1636" s="17"/>
      <x:c r="G1636" s="17"/>
      <x:c r="H1636" s="17"/>
      <x:c r="I1636" s="17"/>
      <x:c r="J1636" s="17"/>
      <x:c r="K1636" s="17"/>
      <x:c r="L1636" s="17"/>
      <x:c r="M1636" s="17"/>
      <x:c r="N1636" s="22"/>
      <x:c r="O1636" s="17"/>
    </x:row>
    <x:row r="1637">
      <x:c r="A1637" s="17"/>
      <x:c r="B1637" s="20"/>
      <x:c r="C1637" s="21"/>
      <x:c r="D1637" s="17"/>
      <x:c r="E1637" s="17"/>
      <x:c r="F1637" s="17"/>
      <x:c r="G1637" s="17"/>
      <x:c r="H1637" s="17"/>
      <x:c r="I1637" s="17"/>
      <x:c r="J1637" s="17"/>
      <x:c r="K1637" s="17"/>
      <x:c r="L1637" s="17"/>
      <x:c r="M1637" s="17"/>
      <x:c r="N1637" s="22"/>
      <x:c r="O1637" s="17"/>
    </x:row>
    <x:row r="1638">
      <x:c r="A1638" s="17"/>
      <x:c r="B1638" s="20"/>
      <x:c r="C1638" s="21"/>
      <x:c r="D1638" s="17"/>
      <x:c r="E1638" s="17"/>
      <x:c r="F1638" s="17"/>
      <x:c r="G1638" s="17"/>
      <x:c r="H1638" s="17"/>
      <x:c r="I1638" s="17"/>
      <x:c r="J1638" s="17"/>
      <x:c r="K1638" s="17"/>
      <x:c r="L1638" s="17"/>
      <x:c r="M1638" s="17"/>
      <x:c r="N1638" s="22"/>
      <x:c r="O1638" s="17"/>
    </x:row>
    <x:row r="1639">
      <x:c r="A1639" s="17"/>
      <x:c r="B1639" s="20"/>
      <x:c r="C1639" s="21"/>
      <x:c r="D1639" s="17"/>
      <x:c r="E1639" s="17"/>
      <x:c r="F1639" s="17"/>
      <x:c r="G1639" s="17"/>
      <x:c r="H1639" s="17"/>
      <x:c r="I1639" s="17"/>
      <x:c r="J1639" s="17"/>
      <x:c r="K1639" s="17"/>
      <x:c r="L1639" s="17"/>
      <x:c r="M1639" s="17"/>
      <x:c r="N1639" s="22"/>
      <x:c r="O1639" s="17"/>
    </x:row>
    <x:row r="1640">
      <x:c r="A1640" s="17"/>
      <x:c r="B1640" s="20"/>
      <x:c r="C1640" s="21"/>
      <x:c r="D1640" s="17"/>
      <x:c r="E1640" s="17"/>
      <x:c r="F1640" s="17"/>
      <x:c r="G1640" s="17"/>
      <x:c r="H1640" s="17"/>
      <x:c r="I1640" s="17"/>
      <x:c r="J1640" s="17"/>
      <x:c r="K1640" s="17"/>
      <x:c r="L1640" s="17"/>
      <x:c r="M1640" s="17"/>
      <x:c r="N1640" s="22"/>
      <x:c r="O1640" s="17"/>
    </x:row>
    <x:row r="1641">
      <x:c r="A1641" s="17"/>
      <x:c r="B1641" s="20"/>
      <x:c r="C1641" s="21"/>
      <x:c r="D1641" s="17"/>
      <x:c r="E1641" s="17"/>
      <x:c r="F1641" s="17"/>
      <x:c r="G1641" s="17"/>
      <x:c r="H1641" s="17"/>
      <x:c r="I1641" s="17"/>
      <x:c r="J1641" s="17"/>
      <x:c r="K1641" s="17"/>
      <x:c r="L1641" s="17"/>
      <x:c r="M1641" s="17"/>
      <x:c r="N1641" s="22"/>
      <x:c r="O1641" s="17"/>
    </x:row>
    <x:row r="1642">
      <x:c r="A1642" s="17"/>
      <x:c r="B1642" s="20"/>
      <x:c r="C1642" s="21"/>
      <x:c r="D1642" s="17"/>
      <x:c r="E1642" s="17"/>
      <x:c r="F1642" s="17"/>
      <x:c r="G1642" s="17"/>
      <x:c r="H1642" s="17"/>
      <x:c r="I1642" s="17"/>
      <x:c r="J1642" s="17"/>
      <x:c r="K1642" s="17"/>
      <x:c r="L1642" s="17"/>
      <x:c r="M1642" s="17"/>
      <x:c r="N1642" s="22"/>
      <x:c r="O1642" s="17"/>
    </x:row>
    <x:row r="1643">
      <x:c r="A1643" s="17"/>
      <x:c r="B1643" s="20"/>
      <x:c r="C1643" s="21"/>
      <x:c r="D1643" s="17"/>
      <x:c r="E1643" s="17"/>
      <x:c r="F1643" s="17"/>
      <x:c r="G1643" s="17"/>
      <x:c r="H1643" s="17"/>
      <x:c r="I1643" s="17"/>
      <x:c r="J1643" s="17"/>
      <x:c r="K1643" s="17"/>
      <x:c r="L1643" s="17"/>
      <x:c r="M1643" s="17"/>
      <x:c r="N1643" s="22"/>
      <x:c r="O1643" s="17"/>
    </x:row>
    <x:row r="1644">
      <x:c r="A1644" s="17"/>
      <x:c r="B1644" s="20"/>
      <x:c r="C1644" s="21"/>
      <x:c r="D1644" s="17"/>
      <x:c r="E1644" s="17"/>
      <x:c r="F1644" s="17"/>
      <x:c r="G1644" s="17"/>
      <x:c r="H1644" s="17"/>
      <x:c r="I1644" s="17"/>
      <x:c r="J1644" s="17"/>
      <x:c r="K1644" s="17"/>
      <x:c r="L1644" s="17"/>
      <x:c r="M1644" s="17"/>
      <x:c r="N1644" s="22"/>
      <x:c r="O1644" s="17"/>
    </x:row>
    <x:row r="1645">
      <x:c r="A1645" s="17"/>
      <x:c r="B1645" s="20"/>
      <x:c r="C1645" s="21"/>
      <x:c r="D1645" s="17"/>
      <x:c r="E1645" s="17"/>
      <x:c r="F1645" s="17"/>
      <x:c r="G1645" s="17"/>
      <x:c r="H1645" s="17"/>
      <x:c r="I1645" s="17"/>
      <x:c r="J1645" s="17"/>
      <x:c r="K1645" s="17"/>
      <x:c r="L1645" s="17"/>
      <x:c r="M1645" s="17"/>
      <x:c r="N1645" s="22"/>
      <x:c r="O1645" s="17"/>
    </x:row>
    <x:row r="1646">
      <x:c r="A1646" s="17"/>
      <x:c r="B1646" s="20"/>
      <x:c r="C1646" s="21"/>
      <x:c r="D1646" s="17"/>
      <x:c r="E1646" s="17"/>
      <x:c r="F1646" s="17"/>
      <x:c r="G1646" s="17"/>
      <x:c r="H1646" s="17"/>
      <x:c r="I1646" s="17"/>
      <x:c r="J1646" s="17"/>
      <x:c r="K1646" s="17"/>
      <x:c r="L1646" s="17"/>
      <x:c r="M1646" s="17"/>
      <x:c r="N1646" s="22"/>
      <x:c r="O1646" s="17"/>
    </x:row>
    <x:row r="1647">
      <x:c r="A1647" s="17"/>
      <x:c r="B1647" s="20"/>
      <x:c r="C1647" s="21"/>
      <x:c r="D1647" s="17"/>
      <x:c r="E1647" s="17"/>
      <x:c r="F1647" s="17"/>
      <x:c r="G1647" s="17"/>
      <x:c r="H1647" s="17"/>
      <x:c r="I1647" s="17"/>
      <x:c r="J1647" s="17"/>
      <x:c r="K1647" s="17"/>
      <x:c r="L1647" s="17"/>
      <x:c r="M1647" s="17"/>
      <x:c r="N1647" s="22"/>
      <x:c r="O1647" s="17"/>
    </x:row>
    <x:row r="1648">
      <x:c r="A1648" s="17"/>
      <x:c r="B1648" s="20"/>
      <x:c r="C1648" s="21"/>
      <x:c r="D1648" s="17"/>
      <x:c r="E1648" s="17"/>
      <x:c r="F1648" s="17"/>
      <x:c r="G1648" s="17"/>
      <x:c r="H1648" s="17"/>
      <x:c r="I1648" s="17"/>
      <x:c r="J1648" s="17"/>
      <x:c r="K1648" s="17"/>
      <x:c r="L1648" s="17"/>
      <x:c r="M1648" s="17"/>
      <x:c r="N1648" s="22"/>
      <x:c r="O1648" s="17"/>
    </x:row>
    <x:row r="1649">
      <x:c r="A1649" s="17"/>
      <x:c r="B1649" s="20"/>
      <x:c r="C1649" s="21"/>
      <x:c r="D1649" s="17"/>
      <x:c r="E1649" s="17"/>
      <x:c r="F1649" s="17"/>
      <x:c r="G1649" s="17"/>
      <x:c r="H1649" s="17"/>
      <x:c r="I1649" s="17"/>
      <x:c r="J1649" s="17"/>
      <x:c r="K1649" s="17"/>
      <x:c r="L1649" s="17"/>
      <x:c r="M1649" s="17"/>
      <x:c r="N1649" s="22"/>
      <x:c r="O1649" s="17"/>
    </x:row>
    <x:row r="1650">
      <x:c r="A1650" s="17"/>
      <x:c r="B1650" s="20"/>
      <x:c r="C1650" s="21"/>
      <x:c r="D1650" s="17"/>
      <x:c r="E1650" s="17"/>
      <x:c r="F1650" s="17"/>
      <x:c r="G1650" s="17"/>
      <x:c r="H1650" s="17"/>
      <x:c r="I1650" s="17"/>
      <x:c r="J1650" s="17"/>
      <x:c r="K1650" s="17"/>
      <x:c r="L1650" s="17"/>
      <x:c r="M1650" s="17"/>
      <x:c r="N1650" s="22"/>
      <x:c r="O1650" s="17"/>
    </x:row>
    <x:row r="1651">
      <x:c r="A1651" s="17"/>
      <x:c r="B1651" s="20"/>
      <x:c r="C1651" s="21"/>
      <x:c r="D1651" s="17"/>
      <x:c r="E1651" s="17"/>
      <x:c r="F1651" s="17"/>
      <x:c r="G1651" s="17"/>
      <x:c r="H1651" s="17"/>
      <x:c r="I1651" s="17"/>
      <x:c r="J1651" s="17"/>
      <x:c r="K1651" s="17"/>
      <x:c r="L1651" s="17"/>
      <x:c r="M1651" s="17"/>
      <x:c r="N1651" s="22"/>
      <x:c r="O1651" s="17"/>
    </x:row>
    <x:row r="1652">
      <x:c r="A1652" s="17"/>
      <x:c r="B1652" s="20"/>
      <x:c r="C1652" s="21"/>
      <x:c r="D1652" s="17"/>
      <x:c r="E1652" s="17"/>
      <x:c r="F1652" s="17"/>
      <x:c r="G1652" s="17"/>
      <x:c r="H1652" s="17"/>
      <x:c r="I1652" s="17"/>
      <x:c r="J1652" s="17"/>
      <x:c r="K1652" s="17"/>
      <x:c r="L1652" s="17"/>
      <x:c r="M1652" s="17"/>
      <x:c r="N1652" s="22"/>
      <x:c r="O1652" s="17"/>
    </x:row>
    <x:row r="1653">
      <x:c r="A1653" s="17"/>
      <x:c r="B1653" s="20"/>
      <x:c r="C1653" s="21"/>
      <x:c r="D1653" s="17"/>
      <x:c r="E1653" s="17"/>
      <x:c r="F1653" s="17"/>
      <x:c r="G1653" s="17"/>
      <x:c r="H1653" s="17"/>
      <x:c r="I1653" s="17"/>
      <x:c r="J1653" s="17"/>
      <x:c r="K1653" s="17"/>
      <x:c r="L1653" s="17"/>
      <x:c r="M1653" s="17"/>
      <x:c r="N1653" s="22"/>
      <x:c r="O1653" s="17"/>
    </x:row>
    <x:row r="1654">
      <x:c r="A1654" s="17"/>
      <x:c r="B1654" s="20"/>
      <x:c r="C1654" s="21"/>
      <x:c r="D1654" s="17"/>
      <x:c r="E1654" s="17"/>
      <x:c r="F1654" s="17"/>
      <x:c r="G1654" s="17"/>
      <x:c r="H1654" s="17"/>
      <x:c r="I1654" s="17"/>
      <x:c r="J1654" s="17"/>
      <x:c r="K1654" s="17"/>
      <x:c r="L1654" s="17"/>
      <x:c r="M1654" s="17"/>
      <x:c r="N1654" s="22"/>
      <x:c r="O1654" s="17"/>
    </x:row>
    <x:row r="1655">
      <x:c r="A1655" s="17"/>
      <x:c r="B1655" s="20"/>
      <x:c r="C1655" s="21"/>
      <x:c r="D1655" s="17"/>
      <x:c r="E1655" s="17"/>
      <x:c r="F1655" s="17"/>
      <x:c r="G1655" s="17"/>
      <x:c r="H1655" s="17"/>
      <x:c r="I1655" s="17"/>
      <x:c r="J1655" s="17"/>
      <x:c r="K1655" s="17"/>
      <x:c r="L1655" s="17"/>
      <x:c r="M1655" s="17"/>
      <x:c r="N1655" s="22"/>
      <x:c r="O1655" s="17"/>
    </x:row>
    <x:row r="1656">
      <x:c r="A1656" s="17"/>
      <x:c r="B1656" s="20"/>
      <x:c r="C1656" s="21"/>
      <x:c r="D1656" s="17"/>
      <x:c r="E1656" s="17"/>
      <x:c r="F1656" s="17"/>
      <x:c r="G1656" s="17"/>
      <x:c r="H1656" s="17"/>
      <x:c r="I1656" s="17"/>
      <x:c r="J1656" s="17"/>
      <x:c r="K1656" s="17"/>
      <x:c r="L1656" s="17"/>
      <x:c r="M1656" s="17"/>
      <x:c r="N1656" s="22"/>
      <x:c r="O1656" s="17"/>
    </x:row>
    <x:row r="1657">
      <x:c r="A1657" s="17"/>
      <x:c r="B1657" s="20"/>
      <x:c r="C1657" s="21"/>
      <x:c r="D1657" s="17"/>
      <x:c r="E1657" s="17"/>
      <x:c r="F1657" s="17"/>
      <x:c r="G1657" s="17"/>
      <x:c r="H1657" s="17"/>
      <x:c r="I1657" s="17"/>
      <x:c r="J1657" s="17"/>
      <x:c r="K1657" s="17"/>
      <x:c r="L1657" s="17"/>
      <x:c r="M1657" s="17"/>
      <x:c r="N1657" s="22"/>
      <x:c r="O1657" s="17"/>
    </x:row>
    <x:row r="1658">
      <x:c r="A1658" s="17"/>
      <x:c r="B1658" s="20"/>
      <x:c r="C1658" s="21"/>
      <x:c r="D1658" s="17"/>
      <x:c r="E1658" s="17"/>
      <x:c r="F1658" s="17"/>
      <x:c r="G1658" s="17"/>
      <x:c r="H1658" s="17"/>
      <x:c r="I1658" s="17"/>
      <x:c r="J1658" s="17"/>
      <x:c r="K1658" s="17"/>
      <x:c r="L1658" s="17"/>
      <x:c r="M1658" s="17"/>
      <x:c r="N1658" s="22"/>
      <x:c r="O1658" s="17"/>
    </x:row>
    <x:row r="1659">
      <x:c r="A1659" s="17"/>
      <x:c r="B1659" s="20"/>
      <x:c r="C1659" s="21"/>
      <x:c r="D1659" s="17"/>
      <x:c r="E1659" s="17"/>
      <x:c r="F1659" s="17"/>
      <x:c r="G1659" s="17"/>
      <x:c r="H1659" s="17"/>
      <x:c r="I1659" s="17"/>
      <x:c r="J1659" s="17"/>
      <x:c r="K1659" s="17"/>
      <x:c r="L1659" s="17"/>
      <x:c r="M1659" s="17"/>
      <x:c r="N1659" s="22"/>
      <x:c r="O1659" s="17"/>
    </x:row>
    <x:row r="1660">
      <x:c r="A1660" s="17"/>
      <x:c r="B1660" s="20"/>
      <x:c r="C1660" s="21"/>
      <x:c r="D1660" s="17"/>
      <x:c r="E1660" s="17"/>
      <x:c r="F1660" s="17"/>
      <x:c r="G1660" s="17"/>
      <x:c r="H1660" s="17"/>
      <x:c r="I1660" s="17"/>
      <x:c r="J1660" s="17"/>
      <x:c r="K1660" s="17"/>
      <x:c r="L1660" s="17"/>
      <x:c r="M1660" s="17"/>
      <x:c r="N1660" s="22"/>
      <x:c r="O1660" s="17"/>
    </x:row>
    <x:row r="1661">
      <x:c r="A1661" s="17"/>
      <x:c r="B1661" s="20"/>
      <x:c r="C1661" s="21"/>
      <x:c r="D1661" s="17"/>
      <x:c r="E1661" s="17"/>
      <x:c r="F1661" s="17"/>
      <x:c r="G1661" s="17"/>
      <x:c r="H1661" s="17"/>
      <x:c r="I1661" s="17"/>
      <x:c r="J1661" s="17"/>
      <x:c r="K1661" s="17"/>
      <x:c r="L1661" s="17"/>
      <x:c r="M1661" s="17"/>
      <x:c r="N1661" s="22"/>
      <x:c r="O1661" s="17"/>
    </x:row>
    <x:row r="1662">
      <x:c r="A1662" s="17"/>
      <x:c r="B1662" s="20"/>
      <x:c r="C1662" s="21"/>
      <x:c r="D1662" s="17"/>
      <x:c r="E1662" s="17"/>
      <x:c r="F1662" s="17"/>
      <x:c r="G1662" s="17"/>
      <x:c r="H1662" s="17"/>
      <x:c r="I1662" s="17"/>
      <x:c r="J1662" s="17"/>
      <x:c r="K1662" s="17"/>
      <x:c r="L1662" s="17"/>
      <x:c r="M1662" s="17"/>
      <x:c r="N1662" s="22"/>
      <x:c r="O1662" s="17"/>
    </x:row>
    <x:row r="1663">
      <x:c r="A1663" s="17"/>
      <x:c r="B1663" s="20"/>
      <x:c r="C1663" s="21"/>
      <x:c r="D1663" s="17"/>
      <x:c r="E1663" s="17"/>
      <x:c r="F1663" s="17"/>
      <x:c r="G1663" s="17"/>
      <x:c r="H1663" s="17"/>
      <x:c r="I1663" s="17"/>
      <x:c r="J1663" s="17"/>
      <x:c r="K1663" s="17"/>
      <x:c r="L1663" s="17"/>
      <x:c r="M1663" s="17"/>
      <x:c r="N1663" s="22"/>
      <x:c r="O1663" s="17"/>
    </x:row>
    <x:row r="1664">
      <x:c r="A1664" s="17"/>
      <x:c r="B1664" s="20"/>
      <x:c r="C1664" s="21"/>
      <x:c r="D1664" s="17"/>
      <x:c r="E1664" s="17"/>
      <x:c r="F1664" s="17"/>
      <x:c r="G1664" s="17"/>
      <x:c r="H1664" s="17"/>
      <x:c r="I1664" s="17"/>
      <x:c r="J1664" s="17"/>
      <x:c r="K1664" s="17"/>
      <x:c r="L1664" s="17"/>
      <x:c r="M1664" s="17"/>
      <x:c r="N1664" s="22"/>
      <x:c r="O1664" s="17"/>
    </x:row>
    <x:row r="1665">
      <x:c r="A1665" s="17"/>
      <x:c r="B1665" s="20"/>
      <x:c r="C1665" s="21"/>
      <x:c r="D1665" s="17"/>
      <x:c r="E1665" s="17"/>
      <x:c r="F1665" s="17"/>
      <x:c r="G1665" s="17"/>
      <x:c r="H1665" s="17"/>
      <x:c r="I1665" s="17"/>
      <x:c r="J1665" s="17"/>
      <x:c r="K1665" s="17"/>
      <x:c r="L1665" s="17"/>
      <x:c r="M1665" s="17"/>
      <x:c r="N1665" s="22"/>
      <x:c r="O1665" s="17"/>
    </x:row>
    <x:row r="1666">
      <x:c r="A1666" s="17"/>
      <x:c r="B1666" s="20"/>
      <x:c r="C1666" s="21"/>
      <x:c r="D1666" s="17"/>
      <x:c r="E1666" s="17"/>
      <x:c r="F1666" s="17"/>
      <x:c r="G1666" s="17"/>
      <x:c r="H1666" s="17"/>
      <x:c r="I1666" s="17"/>
      <x:c r="J1666" s="17"/>
      <x:c r="K1666" s="17"/>
      <x:c r="L1666" s="17"/>
      <x:c r="M1666" s="17"/>
      <x:c r="N1666" s="22"/>
      <x:c r="O1666" s="17"/>
    </x:row>
    <x:row r="1667">
      <x:c r="A1667" s="17"/>
      <x:c r="B1667" s="20"/>
      <x:c r="C1667" s="21"/>
      <x:c r="D1667" s="17"/>
      <x:c r="E1667" s="17"/>
      <x:c r="F1667" s="17"/>
      <x:c r="G1667" s="17"/>
      <x:c r="H1667" s="17"/>
      <x:c r="I1667" s="17"/>
      <x:c r="J1667" s="17"/>
      <x:c r="K1667" s="17"/>
      <x:c r="L1667" s="17"/>
      <x:c r="M1667" s="17"/>
      <x:c r="N1667" s="22"/>
      <x:c r="O1667" s="17"/>
    </x:row>
    <x:row r="1668">
      <x:c r="A1668" s="17"/>
      <x:c r="B1668" s="20"/>
      <x:c r="C1668" s="21"/>
      <x:c r="D1668" s="17"/>
      <x:c r="E1668" s="17"/>
      <x:c r="F1668" s="17"/>
      <x:c r="G1668" s="17"/>
      <x:c r="H1668" s="17"/>
      <x:c r="I1668" s="17"/>
      <x:c r="J1668" s="17"/>
      <x:c r="K1668" s="17"/>
      <x:c r="L1668" s="17"/>
      <x:c r="M1668" s="17"/>
      <x:c r="N1668" s="22"/>
      <x:c r="O1668" s="17"/>
    </x:row>
    <x:row r="1669">
      <x:c r="A1669" s="17"/>
      <x:c r="B1669" s="20"/>
      <x:c r="C1669" s="21"/>
      <x:c r="D1669" s="17"/>
      <x:c r="E1669" s="17"/>
      <x:c r="F1669" s="17"/>
      <x:c r="G1669" s="17"/>
      <x:c r="H1669" s="17"/>
      <x:c r="I1669" s="17"/>
      <x:c r="J1669" s="17"/>
      <x:c r="K1669" s="17"/>
      <x:c r="L1669" s="17"/>
      <x:c r="M1669" s="17"/>
      <x:c r="N1669" s="22"/>
      <x:c r="O1669" s="17"/>
    </x:row>
    <x:row r="1670">
      <x:c r="A1670" s="17"/>
      <x:c r="B1670" s="20"/>
      <x:c r="C1670" s="21"/>
      <x:c r="D1670" s="17"/>
      <x:c r="E1670" s="17"/>
      <x:c r="F1670" s="17"/>
      <x:c r="G1670" s="17"/>
      <x:c r="H1670" s="17"/>
      <x:c r="I1670" s="17"/>
      <x:c r="J1670" s="17"/>
      <x:c r="K1670" s="17"/>
      <x:c r="L1670" s="17"/>
      <x:c r="M1670" s="17"/>
      <x:c r="N1670" s="22"/>
      <x:c r="O1670" s="17"/>
    </x:row>
    <x:row r="1671">
      <x:c r="A1671" s="17"/>
      <x:c r="B1671" s="20"/>
      <x:c r="C1671" s="21"/>
      <x:c r="D1671" s="17"/>
      <x:c r="E1671" s="17"/>
      <x:c r="F1671" s="17"/>
      <x:c r="G1671" s="17"/>
      <x:c r="H1671" s="17"/>
      <x:c r="I1671" s="17"/>
      <x:c r="J1671" s="17"/>
      <x:c r="K1671" s="17"/>
      <x:c r="L1671" s="17"/>
      <x:c r="M1671" s="17"/>
      <x:c r="N1671" s="22"/>
      <x:c r="O1671" s="17"/>
    </x:row>
    <x:row r="1672">
      <x:c r="A1672" s="17"/>
      <x:c r="B1672" s="20"/>
      <x:c r="C1672" s="21"/>
      <x:c r="D1672" s="17"/>
      <x:c r="E1672" s="17"/>
      <x:c r="F1672" s="17"/>
      <x:c r="G1672" s="17"/>
      <x:c r="H1672" s="17"/>
      <x:c r="I1672" s="17"/>
      <x:c r="J1672" s="17"/>
      <x:c r="K1672" s="17"/>
      <x:c r="L1672" s="17"/>
      <x:c r="M1672" s="17"/>
      <x:c r="N1672" s="22"/>
      <x:c r="O1672" s="17"/>
    </x:row>
    <x:row r="1673">
      <x:c r="A1673" s="17"/>
      <x:c r="B1673" s="20"/>
      <x:c r="C1673" s="21"/>
      <x:c r="D1673" s="17"/>
      <x:c r="E1673" s="17"/>
      <x:c r="F1673" s="17"/>
      <x:c r="G1673" s="17"/>
      <x:c r="H1673" s="17"/>
      <x:c r="I1673" s="17"/>
      <x:c r="J1673" s="17"/>
      <x:c r="K1673" s="17"/>
      <x:c r="L1673" s="17"/>
      <x:c r="M1673" s="17"/>
      <x:c r="N1673" s="22"/>
      <x:c r="O1673" s="17"/>
    </x:row>
    <x:row r="1674">
      <x:c r="A1674" s="17"/>
      <x:c r="B1674" s="20"/>
      <x:c r="C1674" s="21"/>
      <x:c r="D1674" s="17"/>
      <x:c r="E1674" s="17"/>
      <x:c r="F1674" s="17"/>
      <x:c r="G1674" s="17"/>
      <x:c r="H1674" s="17"/>
      <x:c r="I1674" s="17"/>
      <x:c r="J1674" s="17"/>
      <x:c r="K1674" s="17"/>
      <x:c r="L1674" s="17"/>
      <x:c r="M1674" s="17"/>
      <x:c r="N1674" s="22"/>
      <x:c r="O1674" s="17"/>
    </x:row>
    <x:row r="1675">
      <x:c r="A1675" s="17"/>
      <x:c r="B1675" s="20"/>
      <x:c r="C1675" s="21"/>
      <x:c r="D1675" s="17"/>
      <x:c r="E1675" s="17"/>
      <x:c r="F1675" s="17"/>
      <x:c r="G1675" s="17"/>
      <x:c r="H1675" s="17"/>
      <x:c r="I1675" s="17"/>
      <x:c r="J1675" s="17"/>
      <x:c r="K1675" s="17"/>
      <x:c r="L1675" s="17"/>
      <x:c r="M1675" s="17"/>
      <x:c r="N1675" s="22"/>
      <x:c r="O1675" s="17"/>
    </x:row>
    <x:row r="1676">
      <x:c r="A1676" s="17"/>
      <x:c r="B1676" s="20"/>
      <x:c r="C1676" s="21"/>
      <x:c r="D1676" s="17"/>
      <x:c r="E1676" s="17"/>
      <x:c r="F1676" s="17"/>
      <x:c r="G1676" s="17"/>
      <x:c r="H1676" s="17"/>
      <x:c r="I1676" s="17"/>
      <x:c r="J1676" s="17"/>
      <x:c r="K1676" s="17"/>
      <x:c r="L1676" s="17"/>
      <x:c r="M1676" s="17"/>
      <x:c r="N1676" s="22"/>
      <x:c r="O1676" s="17"/>
    </x:row>
    <x:row r="1677">
      <x:c r="A1677" s="17"/>
      <x:c r="B1677" s="20"/>
      <x:c r="C1677" s="21"/>
      <x:c r="D1677" s="17"/>
      <x:c r="E1677" s="17"/>
      <x:c r="F1677" s="17"/>
      <x:c r="G1677" s="17"/>
      <x:c r="H1677" s="17"/>
      <x:c r="I1677" s="17"/>
      <x:c r="J1677" s="17"/>
      <x:c r="K1677" s="17"/>
      <x:c r="L1677" s="17"/>
      <x:c r="M1677" s="17"/>
      <x:c r="N1677" s="22"/>
      <x:c r="O1677" s="17"/>
    </x:row>
    <x:row r="1678">
      <x:c r="A1678" s="17"/>
      <x:c r="B1678" s="20"/>
      <x:c r="C1678" s="21"/>
      <x:c r="D1678" s="17"/>
      <x:c r="E1678" s="17"/>
      <x:c r="F1678" s="17"/>
      <x:c r="G1678" s="17"/>
      <x:c r="H1678" s="17"/>
      <x:c r="I1678" s="17"/>
      <x:c r="J1678" s="17"/>
      <x:c r="K1678" s="17"/>
      <x:c r="L1678" s="17"/>
      <x:c r="M1678" s="17"/>
      <x:c r="N1678" s="22"/>
      <x:c r="O1678" s="17"/>
    </x:row>
    <x:row r="1679">
      <x:c r="A1679" s="17"/>
      <x:c r="B1679" s="20"/>
      <x:c r="C1679" s="21"/>
      <x:c r="D1679" s="17"/>
      <x:c r="E1679" s="17"/>
      <x:c r="F1679" s="17"/>
      <x:c r="G1679" s="17"/>
      <x:c r="H1679" s="17"/>
      <x:c r="I1679" s="17"/>
      <x:c r="J1679" s="17"/>
      <x:c r="K1679" s="17"/>
      <x:c r="L1679" s="17"/>
      <x:c r="M1679" s="17"/>
      <x:c r="N1679" s="22"/>
      <x:c r="O1679" s="17"/>
    </x:row>
    <x:row r="1680">
      <x:c r="A1680" s="17"/>
      <x:c r="B1680" s="20"/>
      <x:c r="C1680" s="21"/>
      <x:c r="D1680" s="17"/>
      <x:c r="E1680" s="17"/>
      <x:c r="F1680" s="17"/>
      <x:c r="G1680" s="17"/>
      <x:c r="H1680" s="17"/>
      <x:c r="I1680" s="17"/>
      <x:c r="J1680" s="17"/>
      <x:c r="K1680" s="17"/>
      <x:c r="L1680" s="17"/>
      <x:c r="M1680" s="17"/>
      <x:c r="N1680" s="22"/>
      <x:c r="O1680" s="17"/>
    </x:row>
    <x:row r="1681">
      <x:c r="A1681" s="17"/>
      <x:c r="B1681" s="20"/>
      <x:c r="C1681" s="21"/>
      <x:c r="D1681" s="17"/>
      <x:c r="E1681" s="17"/>
      <x:c r="F1681" s="17"/>
      <x:c r="G1681" s="17"/>
      <x:c r="H1681" s="17"/>
      <x:c r="I1681" s="17"/>
      <x:c r="J1681" s="17"/>
      <x:c r="K1681" s="17"/>
      <x:c r="L1681" s="17"/>
      <x:c r="M1681" s="17"/>
      <x:c r="N1681" s="22"/>
      <x:c r="O1681" s="17"/>
    </x:row>
    <x:row r="1682">
      <x:c r="A1682" s="17"/>
      <x:c r="B1682" s="20"/>
      <x:c r="C1682" s="21"/>
      <x:c r="D1682" s="17"/>
      <x:c r="E1682" s="17"/>
      <x:c r="F1682" s="17"/>
      <x:c r="G1682" s="17"/>
      <x:c r="H1682" s="17"/>
      <x:c r="I1682" s="17"/>
      <x:c r="J1682" s="17"/>
      <x:c r="K1682" s="17"/>
      <x:c r="L1682" s="17"/>
      <x:c r="M1682" s="17"/>
      <x:c r="N1682" s="22"/>
      <x:c r="O1682" s="17"/>
    </x:row>
    <x:row r="1683">
      <x:c r="A1683" s="17"/>
      <x:c r="B1683" s="20"/>
      <x:c r="C1683" s="21"/>
      <x:c r="D1683" s="17"/>
      <x:c r="E1683" s="17"/>
      <x:c r="F1683" s="17"/>
      <x:c r="G1683" s="17"/>
      <x:c r="H1683" s="17"/>
      <x:c r="I1683" s="17"/>
      <x:c r="J1683" s="17"/>
      <x:c r="K1683" s="17"/>
      <x:c r="L1683" s="17"/>
      <x:c r="M1683" s="17"/>
      <x:c r="N1683" s="22"/>
      <x:c r="O1683" s="17"/>
    </x:row>
    <x:row r="1684">
      <x:c r="A1684" s="17"/>
      <x:c r="B1684" s="20"/>
      <x:c r="C1684" s="21"/>
      <x:c r="D1684" s="17"/>
      <x:c r="E1684" s="17"/>
      <x:c r="F1684" s="17"/>
      <x:c r="G1684" s="17"/>
      <x:c r="H1684" s="17"/>
      <x:c r="I1684" s="17"/>
      <x:c r="J1684" s="17"/>
      <x:c r="K1684" s="17"/>
      <x:c r="L1684" s="17"/>
      <x:c r="M1684" s="17"/>
      <x:c r="N1684" s="22"/>
      <x:c r="O1684" s="17"/>
    </x:row>
    <x:row r="1685">
      <x:c r="A1685" s="17"/>
      <x:c r="B1685" s="20"/>
      <x:c r="C1685" s="21"/>
      <x:c r="D1685" s="17"/>
      <x:c r="E1685" s="17"/>
      <x:c r="F1685" s="17"/>
      <x:c r="G1685" s="17"/>
      <x:c r="H1685" s="17"/>
      <x:c r="I1685" s="17"/>
      <x:c r="J1685" s="17"/>
      <x:c r="K1685" s="17"/>
      <x:c r="L1685" s="17"/>
      <x:c r="M1685" s="17"/>
      <x:c r="N1685" s="22"/>
      <x:c r="O1685" s="17"/>
    </x:row>
    <x:row r="1686">
      <x:c r="A1686" s="17"/>
      <x:c r="B1686" s="20"/>
      <x:c r="C1686" s="21"/>
      <x:c r="D1686" s="17"/>
      <x:c r="E1686" s="17"/>
      <x:c r="F1686" s="17"/>
      <x:c r="G1686" s="17"/>
      <x:c r="H1686" s="17"/>
      <x:c r="I1686" s="17"/>
      <x:c r="J1686" s="17"/>
      <x:c r="K1686" s="17"/>
      <x:c r="L1686" s="17"/>
      <x:c r="M1686" s="17"/>
      <x:c r="N1686" s="22"/>
      <x:c r="O1686" s="17"/>
    </x:row>
    <x:row r="1687">
      <x:c r="A1687" s="17"/>
      <x:c r="B1687" s="20"/>
      <x:c r="C1687" s="21"/>
      <x:c r="D1687" s="17"/>
      <x:c r="E1687" s="17"/>
      <x:c r="F1687" s="17"/>
      <x:c r="G1687" s="17"/>
      <x:c r="H1687" s="17"/>
      <x:c r="I1687" s="17"/>
      <x:c r="J1687" s="17"/>
      <x:c r="K1687" s="17"/>
      <x:c r="L1687" s="17"/>
      <x:c r="M1687" s="17"/>
      <x:c r="N1687" s="22"/>
      <x:c r="O1687" s="17"/>
    </x:row>
    <x:row r="1688">
      <x:c r="A1688" s="17"/>
      <x:c r="B1688" s="20"/>
      <x:c r="C1688" s="21"/>
      <x:c r="D1688" s="17"/>
      <x:c r="E1688" s="17"/>
      <x:c r="F1688" s="17"/>
      <x:c r="G1688" s="17"/>
      <x:c r="H1688" s="17"/>
      <x:c r="I1688" s="17"/>
      <x:c r="J1688" s="17"/>
      <x:c r="K1688" s="17"/>
      <x:c r="L1688" s="17"/>
      <x:c r="M1688" s="17"/>
      <x:c r="N1688" s="22"/>
      <x:c r="O1688" s="17"/>
    </x:row>
    <x:row r="1689">
      <x:c r="A1689" s="17"/>
      <x:c r="B1689" s="20"/>
      <x:c r="C1689" s="21"/>
      <x:c r="D1689" s="17"/>
      <x:c r="E1689" s="17"/>
      <x:c r="F1689" s="17"/>
      <x:c r="G1689" s="17"/>
      <x:c r="H1689" s="17"/>
      <x:c r="I1689" s="17"/>
      <x:c r="J1689" s="17"/>
      <x:c r="K1689" s="17"/>
      <x:c r="L1689" s="17"/>
      <x:c r="M1689" s="17"/>
      <x:c r="N1689" s="22"/>
      <x:c r="O1689" s="17"/>
    </x:row>
    <x:row r="1690">
      <x:c r="A1690" s="17"/>
      <x:c r="B1690" s="20"/>
      <x:c r="C1690" s="21"/>
      <x:c r="D1690" s="17"/>
      <x:c r="E1690" s="17"/>
      <x:c r="F1690" s="17"/>
      <x:c r="G1690" s="17"/>
      <x:c r="H1690" s="17"/>
      <x:c r="I1690" s="17"/>
      <x:c r="J1690" s="17"/>
      <x:c r="K1690" s="17"/>
      <x:c r="L1690" s="17"/>
      <x:c r="M1690" s="17"/>
      <x:c r="N1690" s="22"/>
      <x:c r="O1690" s="17"/>
    </x:row>
    <x:row r="1691">
      <x:c r="A1691" s="17"/>
      <x:c r="B1691" s="20"/>
      <x:c r="C1691" s="21"/>
      <x:c r="D1691" s="17"/>
      <x:c r="E1691" s="17"/>
      <x:c r="F1691" s="17"/>
      <x:c r="G1691" s="17"/>
      <x:c r="H1691" s="17"/>
      <x:c r="I1691" s="17"/>
      <x:c r="J1691" s="17"/>
      <x:c r="K1691" s="17"/>
      <x:c r="L1691" s="17"/>
      <x:c r="M1691" s="17"/>
      <x:c r="N1691" s="22"/>
      <x:c r="O1691" s="17"/>
    </x:row>
    <x:row r="1692">
      <x:c r="A1692" s="17"/>
      <x:c r="B1692" s="20"/>
      <x:c r="C1692" s="21"/>
      <x:c r="D1692" s="17"/>
      <x:c r="E1692" s="17"/>
      <x:c r="F1692" s="17"/>
      <x:c r="G1692" s="17"/>
      <x:c r="H1692" s="17"/>
      <x:c r="I1692" s="17"/>
      <x:c r="J1692" s="17"/>
      <x:c r="K1692" s="17"/>
      <x:c r="L1692" s="17"/>
      <x:c r="M1692" s="17"/>
      <x:c r="N1692" s="22"/>
      <x:c r="O1692" s="17"/>
    </x:row>
    <x:row r="1693">
      <x:c r="A1693" s="17"/>
      <x:c r="B1693" s="20"/>
      <x:c r="C1693" s="21"/>
      <x:c r="D1693" s="17"/>
      <x:c r="E1693" s="17"/>
      <x:c r="F1693" s="17"/>
      <x:c r="G1693" s="17"/>
      <x:c r="H1693" s="17"/>
      <x:c r="I1693" s="17"/>
      <x:c r="J1693" s="17"/>
      <x:c r="K1693" s="17"/>
      <x:c r="L1693" s="17"/>
      <x:c r="M1693" s="17"/>
      <x:c r="N1693" s="22"/>
      <x:c r="O1693" s="17"/>
    </x:row>
    <x:row r="1694">
      <x:c r="A1694" s="17"/>
      <x:c r="B1694" s="20"/>
      <x:c r="C1694" s="21"/>
      <x:c r="D1694" s="17"/>
      <x:c r="E1694" s="17"/>
      <x:c r="F1694" s="17"/>
      <x:c r="G1694" s="17"/>
      <x:c r="H1694" s="17"/>
      <x:c r="I1694" s="17"/>
      <x:c r="J1694" s="17"/>
      <x:c r="K1694" s="17"/>
      <x:c r="L1694" s="17"/>
      <x:c r="M1694" s="17"/>
      <x:c r="N1694" s="22"/>
      <x:c r="O1694" s="17"/>
    </x:row>
    <x:row r="1695">
      <x:c r="A1695" s="17"/>
      <x:c r="B1695" s="20"/>
      <x:c r="C1695" s="21"/>
      <x:c r="D1695" s="17"/>
      <x:c r="E1695" s="17"/>
      <x:c r="F1695" s="17"/>
      <x:c r="G1695" s="17"/>
      <x:c r="H1695" s="17"/>
      <x:c r="I1695" s="17"/>
      <x:c r="J1695" s="17"/>
      <x:c r="K1695" s="17"/>
      <x:c r="L1695" s="17"/>
      <x:c r="M1695" s="17"/>
      <x:c r="N1695" s="22"/>
      <x:c r="O1695" s="17"/>
    </x:row>
    <x:row r="1696">
      <x:c r="A1696" s="17"/>
      <x:c r="B1696" s="20"/>
      <x:c r="C1696" s="21"/>
      <x:c r="D1696" s="17"/>
      <x:c r="E1696" s="17"/>
      <x:c r="F1696" s="17"/>
      <x:c r="G1696" s="17"/>
      <x:c r="H1696" s="17"/>
      <x:c r="I1696" s="17"/>
      <x:c r="J1696" s="17"/>
      <x:c r="K1696" s="17"/>
      <x:c r="L1696" s="17"/>
      <x:c r="M1696" s="17"/>
      <x:c r="N1696" s="22"/>
      <x:c r="O1696" s="17"/>
    </x:row>
    <x:row r="1697">
      <x:c r="A1697" s="17"/>
      <x:c r="B1697" s="20"/>
      <x:c r="C1697" s="21"/>
      <x:c r="D1697" s="17"/>
      <x:c r="E1697" s="17"/>
      <x:c r="F1697" s="17"/>
      <x:c r="G1697" s="17"/>
      <x:c r="H1697" s="17"/>
      <x:c r="I1697" s="17"/>
      <x:c r="J1697" s="17"/>
      <x:c r="K1697" s="17"/>
      <x:c r="L1697" s="17"/>
      <x:c r="M1697" s="17"/>
      <x:c r="N1697" s="22"/>
      <x:c r="O1697" s="17"/>
    </x:row>
    <x:row r="1698">
      <x:c r="A1698" s="17"/>
      <x:c r="B1698" s="20"/>
      <x:c r="C1698" s="21"/>
      <x:c r="D1698" s="17"/>
      <x:c r="E1698" s="17"/>
      <x:c r="F1698" s="17"/>
      <x:c r="G1698" s="17"/>
      <x:c r="H1698" s="17"/>
      <x:c r="I1698" s="17"/>
      <x:c r="J1698" s="17"/>
      <x:c r="K1698" s="17"/>
      <x:c r="L1698" s="17"/>
      <x:c r="M1698" s="17"/>
      <x:c r="N1698" s="22"/>
      <x:c r="O1698" s="17"/>
    </x:row>
    <x:row r="1699">
      <x:c r="A1699" s="17"/>
      <x:c r="B1699" s="20"/>
      <x:c r="C1699" s="21"/>
      <x:c r="D1699" s="17"/>
      <x:c r="E1699" s="17"/>
      <x:c r="F1699" s="17"/>
      <x:c r="G1699" s="17"/>
      <x:c r="H1699" s="17"/>
      <x:c r="I1699" s="17"/>
      <x:c r="J1699" s="17"/>
      <x:c r="K1699" s="17"/>
      <x:c r="L1699" s="17"/>
      <x:c r="M1699" s="17"/>
      <x:c r="N1699" s="22"/>
      <x:c r="O1699" s="17"/>
    </x:row>
    <x:row r="1700">
      <x:c r="A1700" s="17"/>
      <x:c r="B1700" s="20"/>
      <x:c r="C1700" s="21"/>
      <x:c r="D1700" s="17"/>
      <x:c r="E1700" s="17"/>
      <x:c r="F1700" s="17"/>
      <x:c r="G1700" s="17"/>
      <x:c r="H1700" s="17"/>
      <x:c r="I1700" s="17"/>
      <x:c r="J1700" s="17"/>
      <x:c r="K1700" s="17"/>
      <x:c r="L1700" s="17"/>
      <x:c r="M1700" s="17"/>
      <x:c r="N1700" s="22"/>
      <x:c r="O1700" s="17"/>
    </x:row>
    <x:row r="1701">
      <x:c r="A1701" s="17"/>
      <x:c r="B1701" s="20"/>
      <x:c r="C1701" s="21"/>
      <x:c r="D1701" s="17"/>
      <x:c r="E1701" s="17"/>
      <x:c r="F1701" s="17"/>
      <x:c r="G1701" s="17"/>
      <x:c r="H1701" s="17"/>
      <x:c r="I1701" s="17"/>
      <x:c r="J1701" s="17"/>
      <x:c r="K1701" s="17"/>
      <x:c r="L1701" s="17"/>
      <x:c r="M1701" s="17"/>
      <x:c r="N1701" s="22"/>
      <x:c r="O1701" s="17"/>
    </x:row>
    <x:row r="1702">
      <x:c r="A1702" s="17"/>
      <x:c r="B1702" s="20"/>
      <x:c r="C1702" s="21"/>
      <x:c r="D1702" s="17"/>
      <x:c r="E1702" s="17"/>
      <x:c r="F1702" s="17"/>
      <x:c r="G1702" s="17"/>
      <x:c r="H1702" s="17"/>
      <x:c r="I1702" s="17"/>
      <x:c r="J1702" s="17"/>
      <x:c r="K1702" s="17"/>
      <x:c r="L1702" s="17"/>
      <x:c r="M1702" s="17"/>
      <x:c r="N1702" s="22"/>
      <x:c r="O1702" s="17"/>
    </x:row>
    <x:row r="1703">
      <x:c r="A1703" s="17"/>
      <x:c r="B1703" s="20"/>
      <x:c r="C1703" s="21"/>
      <x:c r="D1703" s="17"/>
      <x:c r="E1703" s="17"/>
      <x:c r="F1703" s="17"/>
      <x:c r="G1703" s="17"/>
      <x:c r="H1703" s="17"/>
      <x:c r="I1703" s="17"/>
      <x:c r="J1703" s="17"/>
      <x:c r="K1703" s="17"/>
      <x:c r="L1703" s="17"/>
      <x:c r="M1703" s="17"/>
      <x:c r="N1703" s="22"/>
      <x:c r="O1703" s="17"/>
    </x:row>
    <x:row r="1704">
      <x:c r="A1704" s="17"/>
      <x:c r="B1704" s="20"/>
      <x:c r="C1704" s="21"/>
      <x:c r="D1704" s="17"/>
      <x:c r="E1704" s="17"/>
      <x:c r="F1704" s="17"/>
      <x:c r="G1704" s="17"/>
      <x:c r="H1704" s="17"/>
      <x:c r="I1704" s="17"/>
      <x:c r="J1704" s="17"/>
      <x:c r="K1704" s="17"/>
      <x:c r="L1704" s="17"/>
      <x:c r="M1704" s="17"/>
      <x:c r="N1704" s="22"/>
      <x:c r="O1704" s="17"/>
    </x:row>
    <x:row r="1705">
      <x:c r="A1705" s="17"/>
      <x:c r="B1705" s="20"/>
      <x:c r="C1705" s="21"/>
      <x:c r="D1705" s="17"/>
      <x:c r="E1705" s="17"/>
      <x:c r="F1705" s="17"/>
      <x:c r="G1705" s="17"/>
      <x:c r="H1705" s="17"/>
      <x:c r="I1705" s="17"/>
      <x:c r="J1705" s="17"/>
      <x:c r="K1705" s="17"/>
      <x:c r="L1705" s="17"/>
      <x:c r="M1705" s="17"/>
      <x:c r="N1705" s="22"/>
      <x:c r="O1705" s="17"/>
    </x:row>
    <x:row r="1706">
      <x:c r="A1706" s="17"/>
      <x:c r="B1706" s="20"/>
      <x:c r="C1706" s="21"/>
      <x:c r="D1706" s="17"/>
      <x:c r="E1706" s="17"/>
      <x:c r="F1706" s="17"/>
      <x:c r="G1706" s="17"/>
      <x:c r="H1706" s="17"/>
      <x:c r="I1706" s="17"/>
      <x:c r="J1706" s="17"/>
      <x:c r="K1706" s="17"/>
      <x:c r="L1706" s="17"/>
      <x:c r="M1706" s="17"/>
      <x:c r="N1706" s="22"/>
      <x:c r="O1706" s="17"/>
    </x:row>
    <x:row r="1707">
      <x:c r="A1707" s="17"/>
      <x:c r="B1707" s="20"/>
      <x:c r="C1707" s="21"/>
      <x:c r="D1707" s="17"/>
      <x:c r="E1707" s="17"/>
      <x:c r="F1707" s="17"/>
      <x:c r="G1707" s="17"/>
      <x:c r="H1707" s="17"/>
      <x:c r="I1707" s="17"/>
      <x:c r="J1707" s="17"/>
      <x:c r="K1707" s="17"/>
      <x:c r="L1707" s="17"/>
      <x:c r="M1707" s="17"/>
      <x:c r="N1707" s="22"/>
      <x:c r="O1707" s="17"/>
    </x:row>
    <x:row r="1708">
      <x:c r="A1708" s="17"/>
      <x:c r="B1708" s="20"/>
      <x:c r="C1708" s="21"/>
      <x:c r="D1708" s="17"/>
      <x:c r="E1708" s="17"/>
      <x:c r="F1708" s="17"/>
      <x:c r="G1708" s="17"/>
      <x:c r="H1708" s="17"/>
      <x:c r="I1708" s="17"/>
      <x:c r="J1708" s="17"/>
      <x:c r="K1708" s="17"/>
      <x:c r="L1708" s="17"/>
      <x:c r="M1708" s="17"/>
      <x:c r="N1708" s="22"/>
      <x:c r="O1708" s="17"/>
    </x:row>
    <x:row r="1709">
      <x:c r="A1709" s="17"/>
      <x:c r="B1709" s="20"/>
      <x:c r="C1709" s="21"/>
      <x:c r="D1709" s="17"/>
      <x:c r="E1709" s="17"/>
      <x:c r="F1709" s="17"/>
      <x:c r="G1709" s="17"/>
      <x:c r="H1709" s="17"/>
      <x:c r="I1709" s="17"/>
      <x:c r="J1709" s="17"/>
      <x:c r="K1709" s="17"/>
      <x:c r="L1709" s="17"/>
      <x:c r="M1709" s="17"/>
      <x:c r="N1709" s="22"/>
      <x:c r="O1709" s="17"/>
    </x:row>
    <x:row r="1710">
      <x:c r="A1710" s="17"/>
      <x:c r="B1710" s="20"/>
      <x:c r="C1710" s="21"/>
      <x:c r="D1710" s="17"/>
      <x:c r="E1710" s="17"/>
      <x:c r="F1710" s="17"/>
      <x:c r="G1710" s="17"/>
      <x:c r="H1710" s="17"/>
      <x:c r="I1710" s="17"/>
      <x:c r="J1710" s="17"/>
      <x:c r="K1710" s="17"/>
      <x:c r="L1710" s="17"/>
      <x:c r="M1710" s="17"/>
      <x:c r="N1710" s="22"/>
      <x:c r="O1710" s="17"/>
    </x:row>
    <x:row r="1711">
      <x:c r="A1711" s="17"/>
      <x:c r="B1711" s="20"/>
      <x:c r="C1711" s="21"/>
      <x:c r="D1711" s="17"/>
      <x:c r="E1711" s="17"/>
      <x:c r="F1711" s="17"/>
      <x:c r="G1711" s="17"/>
      <x:c r="H1711" s="17"/>
      <x:c r="I1711" s="17"/>
      <x:c r="J1711" s="17"/>
      <x:c r="K1711" s="17"/>
      <x:c r="L1711" s="17"/>
      <x:c r="M1711" s="17"/>
      <x:c r="N1711" s="22"/>
      <x:c r="O1711" s="17"/>
    </x:row>
    <x:row r="1712">
      <x:c r="A1712" s="17"/>
      <x:c r="B1712" s="20"/>
      <x:c r="C1712" s="21"/>
      <x:c r="D1712" s="17"/>
      <x:c r="E1712" s="17"/>
      <x:c r="F1712" s="17"/>
      <x:c r="G1712" s="17"/>
      <x:c r="H1712" s="17"/>
      <x:c r="I1712" s="17"/>
      <x:c r="J1712" s="17"/>
      <x:c r="K1712" s="17"/>
      <x:c r="L1712" s="17"/>
      <x:c r="M1712" s="17"/>
      <x:c r="N1712" s="22"/>
      <x:c r="O1712" s="17"/>
    </x:row>
    <x:row r="1713">
      <x:c r="A1713" s="17"/>
      <x:c r="B1713" s="20"/>
      <x:c r="C1713" s="21"/>
      <x:c r="D1713" s="17"/>
      <x:c r="E1713" s="17"/>
      <x:c r="F1713" s="17"/>
      <x:c r="G1713" s="17"/>
      <x:c r="H1713" s="17"/>
      <x:c r="I1713" s="17"/>
      <x:c r="J1713" s="17"/>
      <x:c r="K1713" s="17"/>
      <x:c r="L1713" s="17"/>
      <x:c r="M1713" s="17"/>
      <x:c r="N1713" s="22"/>
      <x:c r="O1713" s="17"/>
    </x:row>
    <x:row r="1714">
      <x:c r="A1714" s="17"/>
      <x:c r="B1714" s="20"/>
      <x:c r="C1714" s="21"/>
      <x:c r="D1714" s="17"/>
      <x:c r="E1714" s="17"/>
      <x:c r="F1714" s="17"/>
      <x:c r="G1714" s="17"/>
      <x:c r="H1714" s="17"/>
      <x:c r="I1714" s="17"/>
      <x:c r="J1714" s="17"/>
      <x:c r="K1714" s="17"/>
      <x:c r="L1714" s="17"/>
      <x:c r="M1714" s="17"/>
      <x:c r="N1714" s="22"/>
      <x:c r="O1714" s="17"/>
    </x:row>
    <x:row r="1715">
      <x:c r="A1715" s="17"/>
      <x:c r="B1715" s="20"/>
      <x:c r="C1715" s="21"/>
      <x:c r="D1715" s="17"/>
      <x:c r="E1715" s="17"/>
      <x:c r="F1715" s="17"/>
      <x:c r="G1715" s="17"/>
      <x:c r="H1715" s="17"/>
      <x:c r="I1715" s="17"/>
      <x:c r="J1715" s="17"/>
      <x:c r="K1715" s="17"/>
      <x:c r="L1715" s="17"/>
      <x:c r="M1715" s="17"/>
      <x:c r="N1715" s="22"/>
      <x:c r="O1715" s="17"/>
    </x:row>
    <x:row r="1716">
      <x:c r="A1716" s="17"/>
      <x:c r="B1716" s="20"/>
      <x:c r="C1716" s="21"/>
      <x:c r="D1716" s="17"/>
      <x:c r="E1716" s="17"/>
      <x:c r="F1716" s="17"/>
      <x:c r="G1716" s="17"/>
      <x:c r="H1716" s="17"/>
      <x:c r="I1716" s="17"/>
      <x:c r="J1716" s="17"/>
      <x:c r="K1716" s="17"/>
      <x:c r="L1716" s="17"/>
      <x:c r="M1716" s="17"/>
      <x:c r="N1716" s="22"/>
      <x:c r="O1716" s="17"/>
    </x:row>
    <x:row r="1717">
      <x:c r="A1717" s="17"/>
      <x:c r="B1717" s="20"/>
      <x:c r="C1717" s="21"/>
      <x:c r="D1717" s="17"/>
      <x:c r="E1717" s="17"/>
      <x:c r="F1717" s="17"/>
      <x:c r="G1717" s="17"/>
      <x:c r="H1717" s="17"/>
      <x:c r="I1717" s="17"/>
      <x:c r="J1717" s="17"/>
      <x:c r="K1717" s="17"/>
      <x:c r="L1717" s="17"/>
      <x:c r="M1717" s="17"/>
      <x:c r="N1717" s="22"/>
      <x:c r="O1717" s="17"/>
    </x:row>
    <x:row r="1718">
      <x:c r="A1718" s="17"/>
      <x:c r="B1718" s="20"/>
      <x:c r="C1718" s="21"/>
      <x:c r="D1718" s="17"/>
      <x:c r="E1718" s="17"/>
      <x:c r="F1718" s="17"/>
      <x:c r="G1718" s="17"/>
      <x:c r="H1718" s="17"/>
      <x:c r="I1718" s="17"/>
      <x:c r="J1718" s="17"/>
      <x:c r="K1718" s="17"/>
      <x:c r="L1718" s="17"/>
      <x:c r="M1718" s="17"/>
      <x:c r="N1718" s="22"/>
      <x:c r="O1718" s="17"/>
    </x:row>
    <x:row r="1719">
      <x:c r="A1719" s="17"/>
      <x:c r="B1719" s="20"/>
      <x:c r="C1719" s="21"/>
      <x:c r="D1719" s="17"/>
      <x:c r="E1719" s="17"/>
      <x:c r="F1719" s="17"/>
      <x:c r="G1719" s="17"/>
      <x:c r="H1719" s="17"/>
      <x:c r="I1719" s="17"/>
      <x:c r="J1719" s="17"/>
      <x:c r="K1719" s="17"/>
      <x:c r="L1719" s="17"/>
      <x:c r="M1719" s="17"/>
      <x:c r="N1719" s="22"/>
      <x:c r="O1719" s="17"/>
    </x:row>
    <x:row r="1720">
      <x:c r="A1720" s="17"/>
      <x:c r="B1720" s="20"/>
      <x:c r="C1720" s="21"/>
      <x:c r="D1720" s="17"/>
      <x:c r="E1720" s="17"/>
      <x:c r="F1720" s="17"/>
      <x:c r="G1720" s="17"/>
      <x:c r="H1720" s="17"/>
      <x:c r="I1720" s="17"/>
      <x:c r="J1720" s="17"/>
      <x:c r="K1720" s="17"/>
      <x:c r="L1720" s="17"/>
      <x:c r="M1720" s="17"/>
      <x:c r="N1720" s="22"/>
      <x:c r="O1720" s="17"/>
    </x:row>
    <x:row r="1721">
      <x:c r="A1721" s="17"/>
      <x:c r="B1721" s="20"/>
      <x:c r="C1721" s="21"/>
      <x:c r="D1721" s="17"/>
      <x:c r="E1721" s="17"/>
      <x:c r="F1721" s="17"/>
      <x:c r="G1721" s="17"/>
      <x:c r="H1721" s="17"/>
      <x:c r="I1721" s="17"/>
      <x:c r="J1721" s="17"/>
      <x:c r="K1721" s="17"/>
      <x:c r="L1721" s="17"/>
      <x:c r="M1721" s="17"/>
      <x:c r="N1721" s="22"/>
      <x:c r="O1721" s="17"/>
    </x:row>
    <x:row r="1722">
      <x:c r="A1722" s="17"/>
      <x:c r="B1722" s="20"/>
      <x:c r="C1722" s="21"/>
      <x:c r="D1722" s="17"/>
      <x:c r="E1722" s="17"/>
      <x:c r="F1722" s="17"/>
      <x:c r="G1722" s="17"/>
      <x:c r="H1722" s="17"/>
      <x:c r="I1722" s="17"/>
      <x:c r="J1722" s="17"/>
      <x:c r="K1722" s="17"/>
      <x:c r="L1722" s="17"/>
      <x:c r="M1722" s="17"/>
      <x:c r="N1722" s="22"/>
      <x:c r="O1722" s="17"/>
    </x:row>
    <x:row r="1723">
      <x:c r="A1723" s="17"/>
      <x:c r="B1723" s="20"/>
      <x:c r="C1723" s="21"/>
      <x:c r="D1723" s="17"/>
      <x:c r="E1723" s="17"/>
      <x:c r="F1723" s="17"/>
      <x:c r="G1723" s="17"/>
      <x:c r="H1723" s="17"/>
      <x:c r="I1723" s="17"/>
      <x:c r="J1723" s="17"/>
      <x:c r="K1723" s="17"/>
      <x:c r="L1723" s="17"/>
      <x:c r="M1723" s="17"/>
      <x:c r="N1723" s="22"/>
      <x:c r="O1723" s="17"/>
    </x:row>
    <x:row r="1724">
      <x:c r="A1724" s="17"/>
      <x:c r="B1724" s="20"/>
      <x:c r="C1724" s="21"/>
      <x:c r="D1724" s="17"/>
      <x:c r="E1724" s="17"/>
      <x:c r="F1724" s="17"/>
      <x:c r="G1724" s="17"/>
      <x:c r="H1724" s="17"/>
      <x:c r="I1724" s="17"/>
      <x:c r="J1724" s="17"/>
      <x:c r="K1724" s="17"/>
      <x:c r="L1724" s="17"/>
      <x:c r="M1724" s="17"/>
      <x:c r="N1724" s="22"/>
      <x:c r="O1724" s="17"/>
    </x:row>
    <x:row r="1725">
      <x:c r="A1725" s="17"/>
      <x:c r="B1725" s="20"/>
      <x:c r="C1725" s="21"/>
      <x:c r="D1725" s="17"/>
      <x:c r="E1725" s="17"/>
      <x:c r="F1725" s="17"/>
      <x:c r="G1725" s="17"/>
      <x:c r="H1725" s="17"/>
      <x:c r="I1725" s="17"/>
      <x:c r="J1725" s="17"/>
      <x:c r="K1725" s="17"/>
      <x:c r="L1725" s="17"/>
      <x:c r="M1725" s="17"/>
      <x:c r="N1725" s="22"/>
      <x:c r="O1725" s="17"/>
    </x:row>
    <x:row r="1726">
      <x:c r="A1726" s="17"/>
      <x:c r="B1726" s="20"/>
      <x:c r="C1726" s="21"/>
      <x:c r="D1726" s="17"/>
      <x:c r="E1726" s="17"/>
      <x:c r="F1726" s="17"/>
      <x:c r="G1726" s="17"/>
      <x:c r="H1726" s="17"/>
      <x:c r="I1726" s="17"/>
      <x:c r="J1726" s="17"/>
      <x:c r="K1726" s="17"/>
      <x:c r="L1726" s="17"/>
      <x:c r="M1726" s="17"/>
      <x:c r="N1726" s="22"/>
      <x:c r="O1726" s="17"/>
    </x:row>
    <x:row r="1727">
      <x:c r="A1727" s="17"/>
      <x:c r="B1727" s="20"/>
      <x:c r="C1727" s="21"/>
      <x:c r="D1727" s="17"/>
      <x:c r="E1727" s="17"/>
      <x:c r="F1727" s="17"/>
      <x:c r="G1727" s="17"/>
      <x:c r="H1727" s="17"/>
      <x:c r="I1727" s="17"/>
      <x:c r="J1727" s="17"/>
      <x:c r="K1727" s="17"/>
      <x:c r="L1727" s="17"/>
      <x:c r="M1727" s="17"/>
      <x:c r="N1727" s="22"/>
      <x:c r="O1727" s="17"/>
    </x:row>
    <x:row r="1728">
      <x:c r="A1728" s="17"/>
      <x:c r="B1728" s="20"/>
      <x:c r="C1728" s="21"/>
      <x:c r="D1728" s="17"/>
      <x:c r="E1728" s="17"/>
      <x:c r="F1728" s="17"/>
      <x:c r="G1728" s="17"/>
      <x:c r="H1728" s="17"/>
      <x:c r="I1728" s="17"/>
      <x:c r="J1728" s="17"/>
      <x:c r="K1728" s="17"/>
      <x:c r="L1728" s="17"/>
      <x:c r="M1728" s="17"/>
      <x:c r="N1728" s="22"/>
      <x:c r="O1728" s="17"/>
    </x:row>
    <x:row r="1729">
      <x:c r="A1729" s="17"/>
      <x:c r="B1729" s="20"/>
      <x:c r="C1729" s="21"/>
      <x:c r="D1729" s="17"/>
      <x:c r="E1729" s="17"/>
      <x:c r="F1729" s="17"/>
      <x:c r="G1729" s="17"/>
      <x:c r="H1729" s="17"/>
      <x:c r="I1729" s="17"/>
      <x:c r="J1729" s="17"/>
      <x:c r="K1729" s="17"/>
      <x:c r="L1729" s="17"/>
      <x:c r="M1729" s="17"/>
      <x:c r="N1729" s="22"/>
      <x:c r="O1729" s="17"/>
    </x:row>
    <x:row r="1730">
      <x:c r="A1730" s="17"/>
      <x:c r="B1730" s="20"/>
      <x:c r="C1730" s="21"/>
      <x:c r="D1730" s="17"/>
      <x:c r="E1730" s="17"/>
      <x:c r="F1730" s="17"/>
      <x:c r="G1730" s="17"/>
      <x:c r="H1730" s="17"/>
      <x:c r="I1730" s="17"/>
      <x:c r="J1730" s="17"/>
      <x:c r="K1730" s="17"/>
      <x:c r="L1730" s="17"/>
      <x:c r="M1730" s="17"/>
      <x:c r="N1730" s="22"/>
      <x:c r="O1730" s="17"/>
    </x:row>
    <x:row r="1731">
      <x:c r="A1731" s="17"/>
      <x:c r="B1731" s="20"/>
      <x:c r="C1731" s="21"/>
      <x:c r="D1731" s="17"/>
      <x:c r="E1731" s="17"/>
      <x:c r="F1731" s="17"/>
      <x:c r="G1731" s="17"/>
      <x:c r="H1731" s="17"/>
      <x:c r="I1731" s="17"/>
      <x:c r="J1731" s="17"/>
      <x:c r="K1731" s="17"/>
      <x:c r="L1731" s="17"/>
      <x:c r="M1731" s="17"/>
      <x:c r="N1731" s="22"/>
      <x:c r="O1731" s="17"/>
    </x:row>
    <x:row r="1732">
      <x:c r="A1732" s="17"/>
      <x:c r="B1732" s="20"/>
      <x:c r="C1732" s="21"/>
      <x:c r="D1732" s="17"/>
      <x:c r="E1732" s="17"/>
      <x:c r="F1732" s="17"/>
      <x:c r="G1732" s="17"/>
      <x:c r="H1732" s="17"/>
      <x:c r="I1732" s="17"/>
      <x:c r="J1732" s="17"/>
      <x:c r="K1732" s="17"/>
      <x:c r="L1732" s="17"/>
      <x:c r="M1732" s="17"/>
      <x:c r="N1732" s="22"/>
      <x:c r="O1732" s="17"/>
    </x:row>
    <x:row r="1733">
      <x:c r="A1733" s="17"/>
      <x:c r="B1733" s="20"/>
      <x:c r="C1733" s="21"/>
      <x:c r="D1733" s="17"/>
      <x:c r="E1733" s="17"/>
      <x:c r="F1733" s="17"/>
      <x:c r="G1733" s="17"/>
      <x:c r="H1733" s="17"/>
      <x:c r="I1733" s="17"/>
      <x:c r="J1733" s="17"/>
      <x:c r="K1733" s="17"/>
      <x:c r="L1733" s="17"/>
      <x:c r="M1733" s="17"/>
      <x:c r="N1733" s="22"/>
      <x:c r="O1733" s="17"/>
    </x:row>
    <x:row r="1734">
      <x:c r="A1734" s="17"/>
      <x:c r="B1734" s="20"/>
      <x:c r="C1734" s="21"/>
      <x:c r="D1734" s="17"/>
      <x:c r="E1734" s="17"/>
      <x:c r="F1734" s="17"/>
      <x:c r="G1734" s="17"/>
      <x:c r="H1734" s="17"/>
      <x:c r="I1734" s="17"/>
      <x:c r="J1734" s="17"/>
      <x:c r="K1734" s="17"/>
      <x:c r="L1734" s="17"/>
      <x:c r="M1734" s="17"/>
      <x:c r="N1734" s="22"/>
      <x:c r="O1734" s="17"/>
    </x:row>
    <x:row r="1735">
      <x:c r="A1735" s="17"/>
      <x:c r="B1735" s="20"/>
      <x:c r="C1735" s="21"/>
      <x:c r="D1735" s="17"/>
      <x:c r="E1735" s="17"/>
      <x:c r="F1735" s="17"/>
      <x:c r="G1735" s="17"/>
      <x:c r="H1735" s="17"/>
      <x:c r="I1735" s="17"/>
      <x:c r="J1735" s="17"/>
      <x:c r="K1735" s="17"/>
      <x:c r="L1735" s="17"/>
      <x:c r="M1735" s="17"/>
      <x:c r="N1735" s="22"/>
      <x:c r="O1735" s="17"/>
    </x:row>
    <x:row r="1736">
      <x:c r="A1736" s="17"/>
      <x:c r="B1736" s="20"/>
      <x:c r="C1736" s="21"/>
      <x:c r="D1736" s="17"/>
      <x:c r="E1736" s="17"/>
      <x:c r="F1736" s="17"/>
      <x:c r="G1736" s="17"/>
      <x:c r="H1736" s="17"/>
      <x:c r="I1736" s="17"/>
      <x:c r="J1736" s="17"/>
      <x:c r="K1736" s="17"/>
      <x:c r="L1736" s="17"/>
      <x:c r="M1736" s="17"/>
      <x:c r="N1736" s="22"/>
      <x:c r="O1736" s="17"/>
    </x:row>
    <x:row r="1737">
      <x:c r="A1737" s="17"/>
      <x:c r="B1737" s="20"/>
      <x:c r="C1737" s="21"/>
      <x:c r="D1737" s="17"/>
      <x:c r="E1737" s="17"/>
      <x:c r="F1737" s="17"/>
      <x:c r="G1737" s="17"/>
      <x:c r="H1737" s="17"/>
      <x:c r="I1737" s="17"/>
      <x:c r="J1737" s="17"/>
      <x:c r="K1737" s="17"/>
      <x:c r="L1737" s="17"/>
      <x:c r="M1737" s="17"/>
      <x:c r="N1737" s="22"/>
      <x:c r="O1737" s="17"/>
    </x:row>
    <x:row r="1738">
      <x:c r="A1738" s="17"/>
      <x:c r="B1738" s="20"/>
      <x:c r="C1738" s="21"/>
      <x:c r="D1738" s="17"/>
      <x:c r="E1738" s="17"/>
      <x:c r="F1738" s="17"/>
      <x:c r="G1738" s="17"/>
      <x:c r="H1738" s="17"/>
      <x:c r="I1738" s="17"/>
      <x:c r="J1738" s="17"/>
      <x:c r="K1738" s="17"/>
      <x:c r="L1738" s="17"/>
      <x:c r="M1738" s="17"/>
      <x:c r="N1738" s="22"/>
      <x:c r="O1738" s="17"/>
    </x:row>
    <x:row r="1739">
      <x:c r="A1739" s="17"/>
      <x:c r="B1739" s="20"/>
      <x:c r="C1739" s="21"/>
      <x:c r="D1739" s="17"/>
      <x:c r="E1739" s="17"/>
      <x:c r="F1739" s="17"/>
      <x:c r="G1739" s="17"/>
      <x:c r="H1739" s="17"/>
      <x:c r="I1739" s="17"/>
      <x:c r="J1739" s="17"/>
      <x:c r="K1739" s="17"/>
      <x:c r="L1739" s="17"/>
      <x:c r="M1739" s="17"/>
      <x:c r="N1739" s="22"/>
      <x:c r="O1739" s="17"/>
    </x:row>
    <x:row r="1740">
      <x:c r="A1740" s="17"/>
      <x:c r="B1740" s="20"/>
      <x:c r="C1740" s="21"/>
      <x:c r="D1740" s="17"/>
      <x:c r="E1740" s="17"/>
      <x:c r="F1740" s="17"/>
      <x:c r="G1740" s="17"/>
      <x:c r="H1740" s="17"/>
      <x:c r="I1740" s="17"/>
      <x:c r="J1740" s="17"/>
      <x:c r="K1740" s="17"/>
      <x:c r="L1740" s="17"/>
      <x:c r="M1740" s="17"/>
      <x:c r="N1740" s="22"/>
      <x:c r="O1740" s="17"/>
    </x:row>
    <x:row r="1741">
      <x:c r="A1741" s="17"/>
      <x:c r="B1741" s="20"/>
      <x:c r="C1741" s="21"/>
      <x:c r="D1741" s="17"/>
      <x:c r="E1741" s="17"/>
      <x:c r="F1741" s="17"/>
      <x:c r="G1741" s="17"/>
      <x:c r="H1741" s="17"/>
      <x:c r="I1741" s="17"/>
      <x:c r="J1741" s="17"/>
      <x:c r="K1741" s="17"/>
      <x:c r="L1741" s="17"/>
      <x:c r="M1741" s="17"/>
      <x:c r="N1741" s="22"/>
      <x:c r="O1741" s="17"/>
    </x:row>
    <x:row r="1742">
      <x:c r="A1742" s="17"/>
      <x:c r="B1742" s="20"/>
      <x:c r="C1742" s="21"/>
      <x:c r="D1742" s="17"/>
      <x:c r="E1742" s="17"/>
      <x:c r="F1742" s="17"/>
      <x:c r="G1742" s="17"/>
      <x:c r="H1742" s="17"/>
      <x:c r="I1742" s="17"/>
      <x:c r="J1742" s="17"/>
      <x:c r="K1742" s="17"/>
      <x:c r="L1742" s="17"/>
      <x:c r="M1742" s="17"/>
      <x:c r="N1742" s="22"/>
      <x:c r="O1742" s="17"/>
    </x:row>
    <x:row r="1743">
      <x:c r="A1743" s="17"/>
      <x:c r="B1743" s="20"/>
      <x:c r="C1743" s="21"/>
      <x:c r="D1743" s="17"/>
      <x:c r="E1743" s="17"/>
      <x:c r="F1743" s="17"/>
      <x:c r="G1743" s="17"/>
      <x:c r="H1743" s="17"/>
      <x:c r="I1743" s="17"/>
      <x:c r="J1743" s="17"/>
      <x:c r="K1743" s="17"/>
      <x:c r="L1743" s="17"/>
      <x:c r="M1743" s="17"/>
      <x:c r="N1743" s="22"/>
      <x:c r="O1743" s="17"/>
    </x:row>
    <x:row r="1744">
      <x:c r="A1744" s="17"/>
      <x:c r="B1744" s="20"/>
      <x:c r="C1744" s="21"/>
      <x:c r="D1744" s="17"/>
      <x:c r="E1744" s="17"/>
      <x:c r="F1744" s="17"/>
      <x:c r="G1744" s="17"/>
      <x:c r="H1744" s="17"/>
      <x:c r="I1744" s="17"/>
      <x:c r="J1744" s="17"/>
      <x:c r="K1744" s="17"/>
      <x:c r="L1744" s="17"/>
      <x:c r="M1744" s="17"/>
      <x:c r="N1744" s="22"/>
      <x:c r="O1744" s="17"/>
    </x:row>
    <x:row r="1745">
      <x:c r="A1745" s="17"/>
      <x:c r="B1745" s="20"/>
      <x:c r="C1745" s="21"/>
      <x:c r="D1745" s="17"/>
      <x:c r="E1745" s="17"/>
      <x:c r="F1745" s="17"/>
      <x:c r="G1745" s="17"/>
      <x:c r="H1745" s="17"/>
      <x:c r="I1745" s="17"/>
      <x:c r="J1745" s="17"/>
      <x:c r="K1745" s="17"/>
      <x:c r="L1745" s="17"/>
      <x:c r="M1745" s="17"/>
      <x:c r="N1745" s="22"/>
      <x:c r="O1745" s="17"/>
    </x:row>
    <x:row r="1746">
      <x:c r="A1746" s="17"/>
      <x:c r="B1746" s="20"/>
      <x:c r="C1746" s="21"/>
      <x:c r="D1746" s="17"/>
      <x:c r="E1746" s="17"/>
      <x:c r="F1746" s="17"/>
      <x:c r="G1746" s="17"/>
      <x:c r="H1746" s="17"/>
      <x:c r="I1746" s="17"/>
      <x:c r="J1746" s="17"/>
      <x:c r="K1746" s="17"/>
      <x:c r="L1746" s="17"/>
      <x:c r="M1746" s="17"/>
      <x:c r="N1746" s="22"/>
      <x:c r="O1746" s="17"/>
    </x:row>
    <x:row r="1747">
      <x:c r="A1747" s="17"/>
      <x:c r="B1747" s="20"/>
      <x:c r="C1747" s="21"/>
      <x:c r="D1747" s="17"/>
      <x:c r="E1747" s="17"/>
      <x:c r="F1747" s="17"/>
      <x:c r="G1747" s="17"/>
      <x:c r="H1747" s="17"/>
      <x:c r="I1747" s="17"/>
      <x:c r="J1747" s="17"/>
      <x:c r="K1747" s="17"/>
      <x:c r="L1747" s="17"/>
      <x:c r="M1747" s="17"/>
      <x:c r="N1747" s="22"/>
      <x:c r="O1747" s="17"/>
    </x:row>
    <x:row r="1748">
      <x:c r="A1748" s="17"/>
      <x:c r="B1748" s="20"/>
      <x:c r="C1748" s="21"/>
      <x:c r="D1748" s="17"/>
      <x:c r="E1748" s="17"/>
      <x:c r="F1748" s="17"/>
      <x:c r="G1748" s="17"/>
      <x:c r="H1748" s="17"/>
      <x:c r="I1748" s="17"/>
      <x:c r="J1748" s="17"/>
      <x:c r="K1748" s="17"/>
      <x:c r="L1748" s="17"/>
      <x:c r="M1748" s="17"/>
      <x:c r="N1748" s="22"/>
      <x:c r="O1748" s="17"/>
    </x:row>
    <x:row r="1749">
      <x:c r="A1749" s="17"/>
      <x:c r="B1749" s="20"/>
      <x:c r="C1749" s="21"/>
      <x:c r="D1749" s="17"/>
      <x:c r="E1749" s="17"/>
      <x:c r="F1749" s="17"/>
      <x:c r="G1749" s="17"/>
      <x:c r="H1749" s="17"/>
      <x:c r="I1749" s="17"/>
      <x:c r="J1749" s="17"/>
      <x:c r="K1749" s="17"/>
      <x:c r="L1749" s="17"/>
      <x:c r="M1749" s="17"/>
      <x:c r="N1749" s="22"/>
      <x:c r="O1749" s="17"/>
    </x:row>
    <x:row r="1750">
      <x:c r="A1750" s="17"/>
      <x:c r="B1750" s="20"/>
      <x:c r="C1750" s="21"/>
      <x:c r="D1750" s="17"/>
      <x:c r="E1750" s="17"/>
      <x:c r="F1750" s="17"/>
      <x:c r="G1750" s="17"/>
      <x:c r="H1750" s="17"/>
      <x:c r="I1750" s="17"/>
      <x:c r="J1750" s="17"/>
      <x:c r="K1750" s="17"/>
      <x:c r="L1750" s="17"/>
      <x:c r="M1750" s="17"/>
      <x:c r="N1750" s="22"/>
      <x:c r="O1750" s="17"/>
    </x:row>
    <x:row r="1751">
      <x:c r="A1751" s="17"/>
      <x:c r="B1751" s="20"/>
      <x:c r="C1751" s="21"/>
      <x:c r="D1751" s="17"/>
      <x:c r="E1751" s="17"/>
      <x:c r="F1751" s="17"/>
      <x:c r="G1751" s="17"/>
      <x:c r="H1751" s="17"/>
      <x:c r="I1751" s="17"/>
      <x:c r="J1751" s="17"/>
      <x:c r="K1751" s="17"/>
      <x:c r="L1751" s="17"/>
      <x:c r="M1751" s="17"/>
      <x:c r="N1751" s="22"/>
      <x:c r="O1751" s="17"/>
    </x:row>
    <x:row r="1752">
      <x:c r="A1752" s="17"/>
      <x:c r="B1752" s="20"/>
      <x:c r="C1752" s="21"/>
      <x:c r="D1752" s="17"/>
      <x:c r="E1752" s="17"/>
      <x:c r="F1752" s="17"/>
      <x:c r="G1752" s="17"/>
      <x:c r="H1752" s="17"/>
      <x:c r="I1752" s="17"/>
      <x:c r="J1752" s="17"/>
      <x:c r="K1752" s="17"/>
      <x:c r="L1752" s="17"/>
      <x:c r="M1752" s="17"/>
      <x:c r="N1752" s="22"/>
      <x:c r="O1752" s="17"/>
    </x:row>
    <x:row r="1753">
      <x:c r="A1753" s="17"/>
      <x:c r="B1753" s="20"/>
      <x:c r="C1753" s="21"/>
      <x:c r="D1753" s="17"/>
      <x:c r="E1753" s="17"/>
      <x:c r="F1753" s="17"/>
      <x:c r="G1753" s="17"/>
      <x:c r="H1753" s="17"/>
      <x:c r="I1753" s="17"/>
      <x:c r="J1753" s="17"/>
      <x:c r="K1753" s="17"/>
      <x:c r="L1753" s="17"/>
      <x:c r="M1753" s="17"/>
      <x:c r="N1753" s="22"/>
      <x:c r="O1753" s="17"/>
    </x:row>
    <x:row r="1754">
      <x:c r="A1754" s="17"/>
      <x:c r="B1754" s="20"/>
      <x:c r="C1754" s="21"/>
      <x:c r="D1754" s="17"/>
      <x:c r="E1754" s="17"/>
      <x:c r="F1754" s="17"/>
      <x:c r="G1754" s="17"/>
      <x:c r="H1754" s="17"/>
      <x:c r="I1754" s="17"/>
      <x:c r="J1754" s="17"/>
      <x:c r="K1754" s="17"/>
      <x:c r="L1754" s="17"/>
      <x:c r="M1754" s="17"/>
      <x:c r="N1754" s="22"/>
      <x:c r="O1754" s="17"/>
    </x:row>
    <x:row r="1755">
      <x:c r="A1755" s="17"/>
      <x:c r="B1755" s="20"/>
      <x:c r="C1755" s="21"/>
      <x:c r="D1755" s="17"/>
      <x:c r="E1755" s="17"/>
      <x:c r="F1755" s="17"/>
      <x:c r="G1755" s="17"/>
      <x:c r="H1755" s="17"/>
      <x:c r="I1755" s="17"/>
      <x:c r="J1755" s="17"/>
      <x:c r="K1755" s="17"/>
      <x:c r="L1755" s="17"/>
      <x:c r="M1755" s="17"/>
      <x:c r="N1755" s="22"/>
      <x:c r="O1755" s="17"/>
    </x:row>
    <x:row r="1756">
      <x:c r="A1756" s="17"/>
      <x:c r="B1756" s="20"/>
      <x:c r="C1756" s="21"/>
      <x:c r="D1756" s="17"/>
      <x:c r="E1756" s="17"/>
      <x:c r="F1756" s="17"/>
      <x:c r="G1756" s="17"/>
      <x:c r="H1756" s="17"/>
      <x:c r="I1756" s="17"/>
      <x:c r="J1756" s="17"/>
      <x:c r="K1756" s="17"/>
      <x:c r="L1756" s="17"/>
      <x:c r="M1756" s="17"/>
      <x:c r="N1756" s="22"/>
      <x:c r="O1756" s="17"/>
    </x:row>
    <x:row r="1757">
      <x:c r="A1757" s="17"/>
      <x:c r="B1757" s="20"/>
      <x:c r="C1757" s="21"/>
      <x:c r="D1757" s="17"/>
      <x:c r="E1757" s="17"/>
      <x:c r="F1757" s="17"/>
      <x:c r="G1757" s="17"/>
      <x:c r="H1757" s="17"/>
      <x:c r="I1757" s="17"/>
      <x:c r="J1757" s="17"/>
      <x:c r="K1757" s="17"/>
      <x:c r="L1757" s="17"/>
      <x:c r="M1757" s="17"/>
      <x:c r="N1757" s="22"/>
      <x:c r="O1757" s="17"/>
    </x:row>
    <x:row r="1758">
      <x:c r="A1758" s="17"/>
      <x:c r="B1758" s="20"/>
      <x:c r="C1758" s="21"/>
      <x:c r="D1758" s="17"/>
      <x:c r="E1758" s="17"/>
      <x:c r="F1758" s="17"/>
      <x:c r="G1758" s="17"/>
      <x:c r="H1758" s="17"/>
      <x:c r="I1758" s="17"/>
      <x:c r="J1758" s="17"/>
      <x:c r="K1758" s="17"/>
      <x:c r="L1758" s="17"/>
      <x:c r="M1758" s="17"/>
      <x:c r="N1758" s="22"/>
      <x:c r="O1758" s="17"/>
    </x:row>
    <x:row r="1759">
      <x:c r="A1759" s="17"/>
      <x:c r="B1759" s="20"/>
      <x:c r="C1759" s="21"/>
      <x:c r="D1759" s="17"/>
      <x:c r="E1759" s="17"/>
      <x:c r="F1759" s="17"/>
      <x:c r="G1759" s="17"/>
      <x:c r="H1759" s="17"/>
      <x:c r="I1759" s="17"/>
      <x:c r="J1759" s="17"/>
      <x:c r="K1759" s="17"/>
      <x:c r="L1759" s="17"/>
      <x:c r="M1759" s="17"/>
      <x:c r="N1759" s="22"/>
      <x:c r="O1759" s="17"/>
    </x:row>
    <x:row r="1760">
      <x:c r="A1760" s="17"/>
      <x:c r="B1760" s="20"/>
      <x:c r="C1760" s="21"/>
      <x:c r="D1760" s="17"/>
      <x:c r="E1760" s="17"/>
      <x:c r="F1760" s="17"/>
      <x:c r="G1760" s="17"/>
      <x:c r="H1760" s="17"/>
      <x:c r="I1760" s="17"/>
      <x:c r="J1760" s="17"/>
      <x:c r="K1760" s="17"/>
      <x:c r="L1760" s="17"/>
      <x:c r="M1760" s="17"/>
      <x:c r="N1760" s="22"/>
      <x:c r="O1760" s="17"/>
    </x:row>
    <x:row r="1761">
      <x:c r="A1761" s="17"/>
      <x:c r="B1761" s="20"/>
      <x:c r="C1761" s="21"/>
      <x:c r="D1761" s="17"/>
      <x:c r="E1761" s="17"/>
      <x:c r="F1761" s="17"/>
      <x:c r="G1761" s="17"/>
      <x:c r="H1761" s="17"/>
      <x:c r="I1761" s="17"/>
      <x:c r="J1761" s="17"/>
      <x:c r="K1761" s="17"/>
      <x:c r="L1761" s="17"/>
      <x:c r="M1761" s="17"/>
      <x:c r="N1761" s="22"/>
      <x:c r="O1761" s="17"/>
    </x:row>
    <x:row r="1762">
      <x:c r="A1762" s="17"/>
      <x:c r="B1762" s="20"/>
      <x:c r="C1762" s="21"/>
      <x:c r="D1762" s="17"/>
      <x:c r="E1762" s="17"/>
      <x:c r="F1762" s="17"/>
      <x:c r="G1762" s="17"/>
      <x:c r="H1762" s="17"/>
      <x:c r="I1762" s="17"/>
      <x:c r="J1762" s="17"/>
      <x:c r="K1762" s="17"/>
      <x:c r="L1762" s="17"/>
      <x:c r="M1762" s="17"/>
      <x:c r="N1762" s="22"/>
      <x:c r="O1762" s="17"/>
    </x:row>
    <x:row r="1763">
      <x:c r="A1763" s="17"/>
      <x:c r="B1763" s="20"/>
      <x:c r="C1763" s="21"/>
      <x:c r="D1763" s="17"/>
      <x:c r="E1763" s="17"/>
      <x:c r="F1763" s="17"/>
      <x:c r="G1763" s="17"/>
      <x:c r="H1763" s="17"/>
      <x:c r="I1763" s="17"/>
      <x:c r="J1763" s="17"/>
      <x:c r="K1763" s="17"/>
      <x:c r="L1763" s="17"/>
      <x:c r="M1763" s="17"/>
      <x:c r="N1763" s="22"/>
      <x:c r="O1763" s="17"/>
    </x:row>
    <x:row r="1764">
      <x:c r="A1764" s="17"/>
      <x:c r="B1764" s="20"/>
      <x:c r="C1764" s="21"/>
      <x:c r="D1764" s="17"/>
      <x:c r="E1764" s="17"/>
      <x:c r="F1764" s="17"/>
      <x:c r="G1764" s="17"/>
      <x:c r="H1764" s="17"/>
      <x:c r="I1764" s="17"/>
      <x:c r="J1764" s="17"/>
      <x:c r="K1764" s="17"/>
      <x:c r="L1764" s="17"/>
      <x:c r="M1764" s="17"/>
      <x:c r="N1764" s="22"/>
      <x:c r="O1764" s="17"/>
    </x:row>
    <x:row r="1765">
      <x:c r="A1765" s="17"/>
      <x:c r="B1765" s="20"/>
      <x:c r="C1765" s="21"/>
      <x:c r="D1765" s="17"/>
      <x:c r="E1765" s="17"/>
      <x:c r="F1765" s="17"/>
      <x:c r="G1765" s="17"/>
      <x:c r="H1765" s="17"/>
      <x:c r="I1765" s="17"/>
      <x:c r="J1765" s="17"/>
      <x:c r="K1765" s="17"/>
      <x:c r="L1765" s="17"/>
      <x:c r="M1765" s="17"/>
      <x:c r="N1765" s="22"/>
      <x:c r="O1765" s="17"/>
    </x:row>
    <x:row r="1766">
      <x:c r="A1766" s="17"/>
      <x:c r="B1766" s="20"/>
      <x:c r="C1766" s="21"/>
      <x:c r="D1766" s="17"/>
      <x:c r="E1766" s="17"/>
      <x:c r="F1766" s="17"/>
      <x:c r="G1766" s="17"/>
      <x:c r="H1766" s="17"/>
      <x:c r="I1766" s="17"/>
      <x:c r="J1766" s="17"/>
      <x:c r="K1766" s="17"/>
      <x:c r="L1766" s="17"/>
      <x:c r="M1766" s="17"/>
      <x:c r="N1766" s="22"/>
      <x:c r="O1766" s="17"/>
    </x:row>
    <x:row r="1767">
      <x:c r="A1767" s="17"/>
      <x:c r="B1767" s="20"/>
      <x:c r="C1767" s="21"/>
      <x:c r="D1767" s="17"/>
      <x:c r="E1767" s="17"/>
      <x:c r="F1767" s="17"/>
      <x:c r="G1767" s="17"/>
      <x:c r="H1767" s="17"/>
      <x:c r="I1767" s="17"/>
      <x:c r="J1767" s="17"/>
      <x:c r="K1767" s="17"/>
      <x:c r="L1767" s="17"/>
      <x:c r="M1767" s="17"/>
      <x:c r="N1767" s="22"/>
      <x:c r="O1767" s="17"/>
    </x:row>
    <x:row r="1768">
      <x:c r="A1768" s="17"/>
      <x:c r="B1768" s="20"/>
      <x:c r="C1768" s="21"/>
      <x:c r="D1768" s="17"/>
      <x:c r="E1768" s="17"/>
      <x:c r="F1768" s="17"/>
      <x:c r="G1768" s="17"/>
      <x:c r="H1768" s="17"/>
      <x:c r="I1768" s="17"/>
      <x:c r="J1768" s="17"/>
      <x:c r="K1768" s="17"/>
      <x:c r="L1768" s="17"/>
      <x:c r="M1768" s="17"/>
      <x:c r="N1768" s="22"/>
      <x:c r="O1768" s="17"/>
    </x:row>
    <x:row r="1769">
      <x:c r="A1769" s="17"/>
      <x:c r="B1769" s="20"/>
      <x:c r="C1769" s="21"/>
      <x:c r="D1769" s="17"/>
      <x:c r="E1769" s="17"/>
      <x:c r="F1769" s="17"/>
      <x:c r="G1769" s="17"/>
      <x:c r="H1769" s="17"/>
      <x:c r="I1769" s="17"/>
      <x:c r="J1769" s="17"/>
      <x:c r="K1769" s="17"/>
      <x:c r="L1769" s="17"/>
      <x:c r="M1769" s="17"/>
      <x:c r="N1769" s="22"/>
      <x:c r="O1769" s="17"/>
    </x:row>
    <x:row r="1770">
      <x:c r="A1770" s="17"/>
      <x:c r="B1770" s="20"/>
      <x:c r="C1770" s="21"/>
      <x:c r="D1770" s="17"/>
      <x:c r="E1770" s="17"/>
      <x:c r="F1770" s="17"/>
      <x:c r="G1770" s="17"/>
      <x:c r="H1770" s="17"/>
      <x:c r="I1770" s="17"/>
      <x:c r="J1770" s="17"/>
      <x:c r="K1770" s="17"/>
      <x:c r="L1770" s="17"/>
      <x:c r="M1770" s="17"/>
      <x:c r="N1770" s="22"/>
      <x:c r="O1770" s="17"/>
    </x:row>
    <x:row r="1771">
      <x:c r="A1771" s="17"/>
      <x:c r="B1771" s="20"/>
      <x:c r="C1771" s="21"/>
      <x:c r="D1771" s="17"/>
      <x:c r="E1771" s="17"/>
      <x:c r="F1771" s="17"/>
      <x:c r="G1771" s="17"/>
      <x:c r="H1771" s="17"/>
      <x:c r="I1771" s="17"/>
      <x:c r="J1771" s="17"/>
      <x:c r="K1771" s="17"/>
      <x:c r="L1771" s="17"/>
      <x:c r="M1771" s="17"/>
      <x:c r="N1771" s="22"/>
      <x:c r="O1771" s="17"/>
    </x:row>
    <x:row r="1772">
      <x:c r="A1772" s="17"/>
      <x:c r="B1772" s="20"/>
      <x:c r="C1772" s="21"/>
      <x:c r="D1772" s="17"/>
      <x:c r="E1772" s="17"/>
      <x:c r="F1772" s="17"/>
      <x:c r="G1772" s="17"/>
      <x:c r="H1772" s="17"/>
      <x:c r="I1772" s="17"/>
      <x:c r="J1772" s="17"/>
      <x:c r="K1772" s="17"/>
      <x:c r="L1772" s="17"/>
      <x:c r="M1772" s="17"/>
      <x:c r="N1772" s="22"/>
      <x:c r="O1772" s="17"/>
    </x:row>
    <x:row r="1773">
      <x:c r="A1773" s="17"/>
      <x:c r="B1773" s="20"/>
      <x:c r="C1773" s="21"/>
      <x:c r="D1773" s="17"/>
      <x:c r="E1773" s="17"/>
      <x:c r="F1773" s="17"/>
      <x:c r="G1773" s="17"/>
      <x:c r="H1773" s="17"/>
      <x:c r="I1773" s="17"/>
      <x:c r="J1773" s="17"/>
      <x:c r="K1773" s="17"/>
      <x:c r="L1773" s="17"/>
      <x:c r="M1773" s="17"/>
      <x:c r="N1773" s="22"/>
      <x:c r="O1773" s="17"/>
    </x:row>
    <x:row r="1774">
      <x:c r="A1774" s="17"/>
      <x:c r="B1774" s="20"/>
      <x:c r="C1774" s="21"/>
      <x:c r="D1774" s="17"/>
      <x:c r="E1774" s="17"/>
      <x:c r="F1774" s="17"/>
      <x:c r="G1774" s="17"/>
      <x:c r="H1774" s="17"/>
      <x:c r="I1774" s="17"/>
      <x:c r="J1774" s="17"/>
      <x:c r="K1774" s="17"/>
      <x:c r="L1774" s="17"/>
      <x:c r="M1774" s="17"/>
      <x:c r="N1774" s="22"/>
      <x:c r="O1774" s="17"/>
    </x:row>
    <x:row r="1775">
      <x:c r="A1775" s="17"/>
      <x:c r="B1775" s="20"/>
      <x:c r="C1775" s="21"/>
      <x:c r="D1775" s="17"/>
      <x:c r="E1775" s="17"/>
      <x:c r="F1775" s="17"/>
      <x:c r="G1775" s="17"/>
      <x:c r="H1775" s="17"/>
      <x:c r="I1775" s="17"/>
      <x:c r="J1775" s="17"/>
      <x:c r="K1775" s="17"/>
      <x:c r="L1775" s="17"/>
      <x:c r="M1775" s="17"/>
      <x:c r="N1775" s="22"/>
      <x:c r="O1775" s="17"/>
    </x:row>
    <x:row r="1776">
      <x:c r="A1776" s="17"/>
      <x:c r="B1776" s="20"/>
      <x:c r="C1776" s="21"/>
      <x:c r="D1776" s="17"/>
      <x:c r="E1776" s="17"/>
      <x:c r="F1776" s="17"/>
      <x:c r="G1776" s="17"/>
      <x:c r="H1776" s="17"/>
      <x:c r="I1776" s="17"/>
      <x:c r="J1776" s="17"/>
      <x:c r="K1776" s="17"/>
      <x:c r="L1776" s="17"/>
      <x:c r="M1776" s="17"/>
      <x:c r="N1776" s="22"/>
      <x:c r="O1776" s="17"/>
    </x:row>
    <x:row r="1777">
      <x:c r="A1777" s="17"/>
      <x:c r="B1777" s="20"/>
      <x:c r="C1777" s="21"/>
      <x:c r="D1777" s="17"/>
      <x:c r="E1777" s="17"/>
      <x:c r="F1777" s="17"/>
      <x:c r="G1777" s="17"/>
      <x:c r="H1777" s="17"/>
      <x:c r="I1777" s="17"/>
      <x:c r="J1777" s="17"/>
      <x:c r="K1777" s="17"/>
      <x:c r="L1777" s="17"/>
      <x:c r="M1777" s="17"/>
      <x:c r="N1777" s="22"/>
      <x:c r="O1777" s="17"/>
    </x:row>
    <x:row r="1778">
      <x:c r="A1778" s="17"/>
      <x:c r="B1778" s="20"/>
      <x:c r="C1778" s="21"/>
      <x:c r="D1778" s="17"/>
      <x:c r="E1778" s="17"/>
      <x:c r="F1778" s="17"/>
      <x:c r="G1778" s="17"/>
      <x:c r="H1778" s="17"/>
      <x:c r="I1778" s="17"/>
      <x:c r="J1778" s="17"/>
      <x:c r="K1778" s="17"/>
      <x:c r="L1778" s="17"/>
      <x:c r="M1778" s="17"/>
      <x:c r="N1778" s="22"/>
      <x:c r="O1778" s="17"/>
    </x:row>
    <x:row r="1779">
      <x:c r="A1779" s="17"/>
      <x:c r="B1779" s="20"/>
      <x:c r="C1779" s="21"/>
      <x:c r="D1779" s="17"/>
      <x:c r="E1779" s="17"/>
      <x:c r="F1779" s="17"/>
      <x:c r="G1779" s="17"/>
      <x:c r="H1779" s="17"/>
      <x:c r="I1779" s="17"/>
      <x:c r="J1779" s="17"/>
      <x:c r="K1779" s="17"/>
      <x:c r="L1779" s="17"/>
      <x:c r="M1779" s="17"/>
      <x:c r="N1779" s="22"/>
      <x:c r="O1779" s="17"/>
    </x:row>
    <x:row r="1780">
      <x:c r="A1780" s="17"/>
      <x:c r="B1780" s="20"/>
      <x:c r="C1780" s="21"/>
      <x:c r="D1780" s="17"/>
      <x:c r="E1780" s="17"/>
      <x:c r="F1780" s="17"/>
      <x:c r="G1780" s="17"/>
      <x:c r="H1780" s="17"/>
      <x:c r="I1780" s="17"/>
      <x:c r="J1780" s="17"/>
      <x:c r="K1780" s="17"/>
      <x:c r="L1780" s="17"/>
      <x:c r="M1780" s="17"/>
      <x:c r="N1780" s="22"/>
      <x:c r="O1780" s="17"/>
    </x:row>
    <x:row r="1781">
      <x:c r="A1781" s="17"/>
      <x:c r="B1781" s="20"/>
      <x:c r="C1781" s="21"/>
      <x:c r="D1781" s="17"/>
      <x:c r="E1781" s="17"/>
      <x:c r="F1781" s="17"/>
      <x:c r="G1781" s="17"/>
      <x:c r="H1781" s="17"/>
      <x:c r="I1781" s="17"/>
      <x:c r="J1781" s="17"/>
      <x:c r="K1781" s="17"/>
      <x:c r="L1781" s="17"/>
      <x:c r="M1781" s="17"/>
      <x:c r="N1781" s="22"/>
      <x:c r="O1781" s="17"/>
    </x:row>
    <x:row r="1782">
      <x:c r="A1782" s="17"/>
      <x:c r="B1782" s="20"/>
      <x:c r="C1782" s="21"/>
      <x:c r="D1782" s="17"/>
      <x:c r="E1782" s="17"/>
      <x:c r="F1782" s="17"/>
      <x:c r="G1782" s="17"/>
      <x:c r="H1782" s="17"/>
      <x:c r="I1782" s="17"/>
      <x:c r="J1782" s="17"/>
      <x:c r="K1782" s="17"/>
      <x:c r="L1782" s="17"/>
      <x:c r="M1782" s="17"/>
      <x:c r="N1782" s="22"/>
      <x:c r="O1782" s="17"/>
    </x:row>
    <x:row r="1783">
      <x:c r="A1783" s="17"/>
      <x:c r="B1783" s="20"/>
      <x:c r="C1783" s="21"/>
      <x:c r="D1783" s="17"/>
      <x:c r="E1783" s="17"/>
      <x:c r="F1783" s="17"/>
      <x:c r="G1783" s="17"/>
      <x:c r="H1783" s="17"/>
      <x:c r="I1783" s="17"/>
      <x:c r="J1783" s="17"/>
      <x:c r="K1783" s="17"/>
      <x:c r="L1783" s="17"/>
      <x:c r="M1783" s="17"/>
      <x:c r="N1783" s="22"/>
      <x:c r="O1783" s="17"/>
    </x:row>
    <x:row r="1784">
      <x:c r="A1784" s="17"/>
      <x:c r="B1784" s="20"/>
      <x:c r="C1784" s="21"/>
      <x:c r="D1784" s="17"/>
      <x:c r="E1784" s="17"/>
      <x:c r="F1784" s="17"/>
      <x:c r="G1784" s="17"/>
      <x:c r="H1784" s="17"/>
      <x:c r="I1784" s="17"/>
      <x:c r="J1784" s="17"/>
      <x:c r="K1784" s="17"/>
      <x:c r="L1784" s="17"/>
      <x:c r="M1784" s="17"/>
      <x:c r="N1784" s="22"/>
      <x:c r="O1784" s="17"/>
    </x:row>
    <x:row r="1785">
      <x:c r="A1785" s="17"/>
      <x:c r="B1785" s="20"/>
      <x:c r="C1785" s="21"/>
      <x:c r="D1785" s="17"/>
      <x:c r="E1785" s="17"/>
      <x:c r="F1785" s="17"/>
      <x:c r="G1785" s="17"/>
      <x:c r="H1785" s="17"/>
      <x:c r="I1785" s="17"/>
      <x:c r="J1785" s="17"/>
      <x:c r="K1785" s="17"/>
      <x:c r="L1785" s="17"/>
      <x:c r="M1785" s="17"/>
      <x:c r="N1785" s="22"/>
      <x:c r="O1785" s="17"/>
    </x:row>
    <x:row r="1786">
      <x:c r="A1786" s="17"/>
      <x:c r="B1786" s="20"/>
      <x:c r="C1786" s="21"/>
      <x:c r="D1786" s="17"/>
      <x:c r="E1786" s="17"/>
      <x:c r="F1786" s="17"/>
      <x:c r="G1786" s="17"/>
      <x:c r="H1786" s="17"/>
      <x:c r="I1786" s="17"/>
      <x:c r="J1786" s="17"/>
      <x:c r="K1786" s="17"/>
      <x:c r="L1786" s="17"/>
      <x:c r="M1786" s="17"/>
      <x:c r="N1786" s="22"/>
      <x:c r="O1786" s="17"/>
    </x:row>
    <x:row r="1787">
      <x:c r="A1787" s="17"/>
      <x:c r="B1787" s="20"/>
      <x:c r="C1787" s="21"/>
      <x:c r="D1787" s="17"/>
      <x:c r="E1787" s="17"/>
      <x:c r="F1787" s="17"/>
      <x:c r="G1787" s="17"/>
      <x:c r="H1787" s="17"/>
      <x:c r="I1787" s="17"/>
      <x:c r="J1787" s="17"/>
      <x:c r="K1787" s="17"/>
      <x:c r="L1787" s="17"/>
      <x:c r="M1787" s="17"/>
      <x:c r="N1787" s="22"/>
      <x:c r="O1787" s="17"/>
    </x:row>
    <x:row r="1788">
      <x:c r="A1788" s="17"/>
      <x:c r="B1788" s="20"/>
      <x:c r="C1788" s="21"/>
      <x:c r="D1788" s="17"/>
      <x:c r="E1788" s="17"/>
      <x:c r="F1788" s="17"/>
      <x:c r="G1788" s="17"/>
      <x:c r="H1788" s="17"/>
      <x:c r="I1788" s="17"/>
      <x:c r="J1788" s="17"/>
      <x:c r="K1788" s="17"/>
      <x:c r="L1788" s="17"/>
      <x:c r="M1788" s="17"/>
      <x:c r="N1788" s="22"/>
      <x:c r="O1788" s="17"/>
    </x:row>
    <x:row r="1789">
      <x:c r="A1789" s="17"/>
      <x:c r="B1789" s="20"/>
      <x:c r="C1789" s="21"/>
      <x:c r="D1789" s="17"/>
      <x:c r="E1789" s="17"/>
      <x:c r="F1789" s="17"/>
      <x:c r="G1789" s="17"/>
      <x:c r="H1789" s="17"/>
      <x:c r="I1789" s="17"/>
      <x:c r="J1789" s="17"/>
      <x:c r="K1789" s="17"/>
      <x:c r="L1789" s="17"/>
      <x:c r="M1789" s="17"/>
      <x:c r="N1789" s="22"/>
      <x:c r="O1789" s="17"/>
    </x:row>
    <x:row r="1790">
      <x:c r="A1790" s="17"/>
      <x:c r="B1790" s="20"/>
      <x:c r="C1790" s="21"/>
      <x:c r="D1790" s="17"/>
      <x:c r="E1790" s="17"/>
      <x:c r="F1790" s="17"/>
      <x:c r="G1790" s="17"/>
      <x:c r="H1790" s="17"/>
      <x:c r="I1790" s="17"/>
      <x:c r="J1790" s="17"/>
      <x:c r="K1790" s="17"/>
      <x:c r="L1790" s="17"/>
      <x:c r="M1790" s="17"/>
      <x:c r="N1790" s="22"/>
      <x:c r="O1790" s="17"/>
    </x:row>
    <x:row r="1791">
      <x:c r="A1791" s="17"/>
      <x:c r="B1791" s="20"/>
      <x:c r="C1791" s="21"/>
      <x:c r="D1791" s="17"/>
      <x:c r="E1791" s="17"/>
      <x:c r="F1791" s="17"/>
      <x:c r="G1791" s="17"/>
      <x:c r="H1791" s="17"/>
      <x:c r="I1791" s="17"/>
      <x:c r="J1791" s="17"/>
      <x:c r="K1791" s="17"/>
      <x:c r="L1791" s="17"/>
      <x:c r="M1791" s="17"/>
      <x:c r="N1791" s="22"/>
      <x:c r="O1791" s="17"/>
    </x:row>
    <x:row r="1792">
      <x:c r="A1792" s="17"/>
      <x:c r="B1792" s="20"/>
      <x:c r="C1792" s="21"/>
      <x:c r="D1792" s="17"/>
      <x:c r="E1792" s="17"/>
      <x:c r="F1792" s="17"/>
      <x:c r="G1792" s="17"/>
      <x:c r="H1792" s="17"/>
      <x:c r="I1792" s="17"/>
      <x:c r="J1792" s="17"/>
      <x:c r="K1792" s="17"/>
      <x:c r="L1792" s="17"/>
      <x:c r="M1792" s="17"/>
      <x:c r="N1792" s="22"/>
      <x:c r="O1792" s="17"/>
    </x:row>
    <x:row r="1793">
      <x:c r="A1793" s="17"/>
      <x:c r="B1793" s="20"/>
      <x:c r="C1793" s="21"/>
      <x:c r="D1793" s="17"/>
      <x:c r="E1793" s="17"/>
      <x:c r="F1793" s="17"/>
      <x:c r="G1793" s="17"/>
      <x:c r="H1793" s="17"/>
      <x:c r="I1793" s="17"/>
      <x:c r="J1793" s="17"/>
      <x:c r="K1793" s="17"/>
      <x:c r="L1793" s="17"/>
      <x:c r="M1793" s="17"/>
      <x:c r="N1793" s="22"/>
      <x:c r="O1793" s="17"/>
    </x:row>
    <x:row r="1794">
      <x:c r="A1794" s="17"/>
      <x:c r="B1794" s="20"/>
      <x:c r="C1794" s="21"/>
      <x:c r="D1794" s="17"/>
      <x:c r="E1794" s="17"/>
      <x:c r="F1794" s="17"/>
      <x:c r="G1794" s="17"/>
      <x:c r="H1794" s="17"/>
      <x:c r="I1794" s="17"/>
      <x:c r="J1794" s="17"/>
      <x:c r="K1794" s="17"/>
      <x:c r="L1794" s="17"/>
      <x:c r="M1794" s="17"/>
      <x:c r="N1794" s="22"/>
      <x:c r="O1794" s="17"/>
    </x:row>
    <x:row r="1795">
      <x:c r="A1795" s="17"/>
      <x:c r="B1795" s="20"/>
      <x:c r="C1795" s="21"/>
      <x:c r="D1795" s="17"/>
      <x:c r="E1795" s="17"/>
      <x:c r="F1795" s="17"/>
      <x:c r="G1795" s="17"/>
      <x:c r="H1795" s="17"/>
      <x:c r="I1795" s="17"/>
      <x:c r="J1795" s="17"/>
      <x:c r="K1795" s="17"/>
      <x:c r="L1795" s="17"/>
      <x:c r="M1795" s="17"/>
      <x:c r="N1795" s="22"/>
      <x:c r="O1795" s="17"/>
    </x:row>
    <x:row r="1796">
      <x:c r="A1796" s="17"/>
      <x:c r="B1796" s="20"/>
      <x:c r="C1796" s="21"/>
      <x:c r="D1796" s="17"/>
      <x:c r="E1796" s="17"/>
      <x:c r="F1796" s="17"/>
      <x:c r="G1796" s="17"/>
      <x:c r="H1796" s="17"/>
      <x:c r="I1796" s="17"/>
      <x:c r="J1796" s="17"/>
      <x:c r="K1796" s="17"/>
      <x:c r="L1796" s="17"/>
      <x:c r="M1796" s="17"/>
      <x:c r="N1796" s="22"/>
      <x:c r="O1796" s="17"/>
    </x:row>
    <x:row r="1797">
      <x:c r="A1797" s="17"/>
      <x:c r="B1797" s="20"/>
      <x:c r="C1797" s="21"/>
      <x:c r="D1797" s="17"/>
      <x:c r="E1797" s="17"/>
      <x:c r="F1797" s="17"/>
      <x:c r="G1797" s="17"/>
      <x:c r="H1797" s="17"/>
      <x:c r="I1797" s="17"/>
      <x:c r="J1797" s="17"/>
      <x:c r="K1797" s="17"/>
      <x:c r="L1797" s="17"/>
      <x:c r="M1797" s="17"/>
      <x:c r="N1797" s="22"/>
      <x:c r="O1797" s="17"/>
    </x:row>
    <x:row r="1798">
      <x:c r="A1798" s="17"/>
      <x:c r="B1798" s="20"/>
      <x:c r="C1798" s="21"/>
      <x:c r="D1798" s="17"/>
      <x:c r="E1798" s="17"/>
      <x:c r="F1798" s="17"/>
      <x:c r="G1798" s="17"/>
      <x:c r="H1798" s="17"/>
      <x:c r="I1798" s="17"/>
      <x:c r="J1798" s="17"/>
      <x:c r="K1798" s="17"/>
      <x:c r="L1798" s="17"/>
      <x:c r="M1798" s="17"/>
      <x:c r="N1798" s="22"/>
      <x:c r="O1798" s="17"/>
    </x:row>
    <x:row r="1799">
      <x:c r="A1799" s="17"/>
      <x:c r="B1799" s="20"/>
      <x:c r="C1799" s="21"/>
      <x:c r="D1799" s="17"/>
      <x:c r="E1799" s="17"/>
      <x:c r="F1799" s="17"/>
      <x:c r="G1799" s="17"/>
      <x:c r="H1799" s="17"/>
      <x:c r="I1799" s="17"/>
      <x:c r="J1799" s="17"/>
      <x:c r="K1799" s="17"/>
      <x:c r="L1799" s="17"/>
      <x:c r="M1799" s="17"/>
      <x:c r="N1799" s="22"/>
      <x:c r="O1799" s="17"/>
    </x:row>
    <x:row r="1800">
      <x:c r="A1800" s="17"/>
      <x:c r="B1800" s="20"/>
      <x:c r="C1800" s="21"/>
      <x:c r="D1800" s="17"/>
      <x:c r="E1800" s="17"/>
      <x:c r="F1800" s="17"/>
      <x:c r="G1800" s="17"/>
      <x:c r="H1800" s="17"/>
      <x:c r="I1800" s="17"/>
      <x:c r="J1800" s="17"/>
      <x:c r="K1800" s="17"/>
      <x:c r="L1800" s="17"/>
      <x:c r="M1800" s="17"/>
      <x:c r="N1800" s="22"/>
      <x:c r="O1800" s="17"/>
    </x:row>
    <x:row r="1801">
      <x:c r="A1801" s="17"/>
      <x:c r="B1801" s="20"/>
      <x:c r="C1801" s="21"/>
      <x:c r="D1801" s="17"/>
      <x:c r="E1801" s="17"/>
      <x:c r="F1801" s="17"/>
      <x:c r="G1801" s="17"/>
      <x:c r="H1801" s="17"/>
      <x:c r="I1801" s="17"/>
      <x:c r="J1801" s="17"/>
      <x:c r="K1801" s="17"/>
      <x:c r="L1801" s="17"/>
      <x:c r="M1801" s="17"/>
      <x:c r="N1801" s="22"/>
      <x:c r="O1801" s="17"/>
    </x:row>
    <x:row r="1802">
      <x:c r="A1802" s="17"/>
      <x:c r="B1802" s="20"/>
      <x:c r="C1802" s="21"/>
      <x:c r="D1802" s="17"/>
      <x:c r="E1802" s="17"/>
      <x:c r="F1802" s="17"/>
      <x:c r="G1802" s="17"/>
      <x:c r="H1802" s="17"/>
      <x:c r="I1802" s="17"/>
      <x:c r="J1802" s="17"/>
      <x:c r="K1802" s="17"/>
      <x:c r="L1802" s="17"/>
      <x:c r="M1802" s="17"/>
      <x:c r="N1802" s="22"/>
      <x:c r="O1802" s="17"/>
    </x:row>
    <x:row r="1803">
      <x:c r="A1803" s="17"/>
      <x:c r="B1803" s="20"/>
      <x:c r="C1803" s="21"/>
      <x:c r="D1803" s="17"/>
      <x:c r="E1803" s="17"/>
      <x:c r="F1803" s="17"/>
      <x:c r="G1803" s="17"/>
      <x:c r="H1803" s="17"/>
      <x:c r="I1803" s="17"/>
      <x:c r="J1803" s="17"/>
      <x:c r="K1803" s="17"/>
      <x:c r="L1803" s="17"/>
      <x:c r="M1803" s="17"/>
      <x:c r="N1803" s="22"/>
      <x:c r="O1803" s="17"/>
    </x:row>
    <x:row r="1804">
      <x:c r="A1804" s="17"/>
      <x:c r="B1804" s="20"/>
      <x:c r="C1804" s="21"/>
      <x:c r="D1804" s="17"/>
      <x:c r="E1804" s="17"/>
      <x:c r="F1804" s="17"/>
      <x:c r="G1804" s="17"/>
      <x:c r="H1804" s="17"/>
      <x:c r="I1804" s="17"/>
      <x:c r="J1804" s="17"/>
      <x:c r="K1804" s="17"/>
      <x:c r="L1804" s="17"/>
      <x:c r="M1804" s="17"/>
      <x:c r="N1804" s="22"/>
      <x:c r="O1804" s="17"/>
    </x:row>
    <x:row r="1805">
      <x:c r="A1805" s="17"/>
      <x:c r="B1805" s="20"/>
      <x:c r="C1805" s="21"/>
      <x:c r="D1805" s="17"/>
      <x:c r="E1805" s="17"/>
      <x:c r="F1805" s="17"/>
      <x:c r="G1805" s="17"/>
      <x:c r="H1805" s="17"/>
      <x:c r="I1805" s="17"/>
      <x:c r="J1805" s="17"/>
      <x:c r="K1805" s="17"/>
      <x:c r="L1805" s="17"/>
      <x:c r="M1805" s="17"/>
      <x:c r="N1805" s="22"/>
      <x:c r="O1805" s="17"/>
    </x:row>
    <x:row r="1806">
      <x:c r="A1806" s="17"/>
      <x:c r="B1806" s="20"/>
      <x:c r="C1806" s="21"/>
      <x:c r="D1806" s="17"/>
      <x:c r="E1806" s="17"/>
      <x:c r="F1806" s="17"/>
      <x:c r="G1806" s="17"/>
      <x:c r="H1806" s="17"/>
      <x:c r="I1806" s="17"/>
      <x:c r="J1806" s="17"/>
      <x:c r="K1806" s="17"/>
      <x:c r="L1806" s="17"/>
      <x:c r="M1806" s="17"/>
      <x:c r="N1806" s="22"/>
      <x:c r="O1806" s="17"/>
    </x:row>
    <x:row r="1807">
      <x:c r="A1807" s="17"/>
      <x:c r="B1807" s="20"/>
      <x:c r="C1807" s="21"/>
      <x:c r="D1807" s="17"/>
      <x:c r="E1807" s="17"/>
      <x:c r="F1807" s="17"/>
      <x:c r="G1807" s="17"/>
      <x:c r="H1807" s="17"/>
      <x:c r="I1807" s="17"/>
      <x:c r="J1807" s="17"/>
      <x:c r="K1807" s="17"/>
      <x:c r="L1807" s="17"/>
      <x:c r="M1807" s="17"/>
      <x:c r="N1807" s="22"/>
      <x:c r="O1807" s="17"/>
    </x:row>
    <x:row r="1808">
      <x:c r="A1808" s="17"/>
      <x:c r="B1808" s="20"/>
      <x:c r="C1808" s="21"/>
      <x:c r="D1808" s="17"/>
      <x:c r="E1808" s="17"/>
      <x:c r="F1808" s="17"/>
      <x:c r="G1808" s="17"/>
      <x:c r="H1808" s="17"/>
      <x:c r="I1808" s="17"/>
      <x:c r="J1808" s="17"/>
      <x:c r="K1808" s="17"/>
      <x:c r="L1808" s="17"/>
      <x:c r="M1808" s="17"/>
      <x:c r="N1808" s="22"/>
      <x:c r="O1808" s="17"/>
    </x:row>
    <x:row r="1809">
      <x:c r="A1809" s="17"/>
      <x:c r="B1809" s="20"/>
      <x:c r="C1809" s="21"/>
      <x:c r="D1809" s="17"/>
      <x:c r="E1809" s="17"/>
      <x:c r="F1809" s="17"/>
      <x:c r="G1809" s="17"/>
      <x:c r="H1809" s="17"/>
      <x:c r="I1809" s="17"/>
      <x:c r="J1809" s="17"/>
      <x:c r="K1809" s="17"/>
      <x:c r="L1809" s="17"/>
      <x:c r="M1809" s="17"/>
      <x:c r="N1809" s="22"/>
      <x:c r="O1809" s="17"/>
    </x:row>
    <x:row r="1810">
      <x:c r="A1810" s="17"/>
      <x:c r="B1810" s="20"/>
      <x:c r="C1810" s="21"/>
      <x:c r="D1810" s="17"/>
      <x:c r="E1810" s="17"/>
      <x:c r="F1810" s="17"/>
      <x:c r="G1810" s="17"/>
      <x:c r="H1810" s="17"/>
      <x:c r="I1810" s="17"/>
      <x:c r="J1810" s="17"/>
      <x:c r="K1810" s="17"/>
      <x:c r="L1810" s="17"/>
      <x:c r="M1810" s="17"/>
      <x:c r="N1810" s="22"/>
      <x:c r="O1810" s="17"/>
    </x:row>
    <x:row r="1811">
      <x:c r="A1811" s="17"/>
      <x:c r="B1811" s="20"/>
      <x:c r="C1811" s="21"/>
      <x:c r="D1811" s="17"/>
      <x:c r="E1811" s="17"/>
      <x:c r="F1811" s="17"/>
      <x:c r="G1811" s="17"/>
      <x:c r="H1811" s="17"/>
      <x:c r="I1811" s="17"/>
      <x:c r="J1811" s="17"/>
      <x:c r="K1811" s="17"/>
      <x:c r="L1811" s="17"/>
      <x:c r="M1811" s="17"/>
      <x:c r="N1811" s="22"/>
      <x:c r="O1811" s="17"/>
    </x:row>
    <x:row r="1812">
      <x:c r="A1812" s="17"/>
      <x:c r="B1812" s="20"/>
      <x:c r="C1812" s="21"/>
      <x:c r="D1812" s="17"/>
      <x:c r="E1812" s="17"/>
      <x:c r="F1812" s="17"/>
      <x:c r="G1812" s="17"/>
      <x:c r="H1812" s="17"/>
      <x:c r="I1812" s="17"/>
      <x:c r="J1812" s="17"/>
      <x:c r="K1812" s="17"/>
      <x:c r="L1812" s="17"/>
      <x:c r="M1812" s="17"/>
      <x:c r="N1812" s="22"/>
      <x:c r="O1812" s="17"/>
    </x:row>
    <x:row r="1813">
      <x:c r="A1813" s="17"/>
      <x:c r="B1813" s="20"/>
      <x:c r="C1813" s="21"/>
      <x:c r="D1813" s="17"/>
      <x:c r="E1813" s="17"/>
      <x:c r="F1813" s="17"/>
      <x:c r="G1813" s="17"/>
      <x:c r="H1813" s="17"/>
      <x:c r="I1813" s="17"/>
      <x:c r="J1813" s="17"/>
      <x:c r="K1813" s="17"/>
      <x:c r="L1813" s="17"/>
      <x:c r="M1813" s="17"/>
      <x:c r="N1813" s="22"/>
      <x:c r="O1813" s="17"/>
    </x:row>
    <x:row r="1814">
      <x:c r="A1814" s="17"/>
      <x:c r="B1814" s="20"/>
      <x:c r="C1814" s="21"/>
      <x:c r="D1814" s="17"/>
      <x:c r="E1814" s="17"/>
      <x:c r="F1814" s="17"/>
      <x:c r="G1814" s="17"/>
      <x:c r="H1814" s="17"/>
      <x:c r="I1814" s="17"/>
      <x:c r="J1814" s="17"/>
      <x:c r="K1814" s="17"/>
      <x:c r="L1814" s="17"/>
      <x:c r="M1814" s="17"/>
      <x:c r="N1814" s="22"/>
      <x:c r="O1814" s="17"/>
    </x:row>
    <x:row r="1815">
      <x:c r="A1815" s="17"/>
      <x:c r="B1815" s="20"/>
      <x:c r="C1815" s="21"/>
      <x:c r="D1815" s="17"/>
      <x:c r="E1815" s="17"/>
      <x:c r="F1815" s="17"/>
      <x:c r="G1815" s="17"/>
      <x:c r="H1815" s="17"/>
      <x:c r="I1815" s="17"/>
      <x:c r="J1815" s="17"/>
      <x:c r="K1815" s="17"/>
      <x:c r="L1815" s="17"/>
      <x:c r="M1815" s="17"/>
      <x:c r="N1815" s="22"/>
      <x:c r="O1815" s="17"/>
    </x:row>
    <x:row r="1816">
      <x:c r="A1816" s="17"/>
      <x:c r="B1816" s="20"/>
      <x:c r="C1816" s="21"/>
      <x:c r="D1816" s="17"/>
      <x:c r="E1816" s="17"/>
      <x:c r="F1816" s="17"/>
      <x:c r="G1816" s="17"/>
      <x:c r="H1816" s="17"/>
      <x:c r="I1816" s="17"/>
      <x:c r="J1816" s="17"/>
      <x:c r="K1816" s="17"/>
      <x:c r="L1816" s="17"/>
      <x:c r="M1816" s="17"/>
      <x:c r="N1816" s="22"/>
      <x:c r="O1816" s="17"/>
    </x:row>
    <x:row r="1817">
      <x:c r="A1817" s="17"/>
      <x:c r="B1817" s="20"/>
      <x:c r="C1817" s="21"/>
      <x:c r="D1817" s="17"/>
      <x:c r="E1817" s="17"/>
      <x:c r="F1817" s="17"/>
      <x:c r="G1817" s="17"/>
      <x:c r="H1817" s="17"/>
      <x:c r="I1817" s="17"/>
      <x:c r="J1817" s="17"/>
      <x:c r="K1817" s="17"/>
      <x:c r="L1817" s="17"/>
      <x:c r="M1817" s="17"/>
      <x:c r="N1817" s="22"/>
      <x:c r="O1817" s="17"/>
    </x:row>
    <x:row r="1818">
      <x:c r="A1818" s="17"/>
      <x:c r="B1818" s="20"/>
      <x:c r="C1818" s="21"/>
      <x:c r="D1818" s="17"/>
      <x:c r="E1818" s="17"/>
      <x:c r="F1818" s="17"/>
      <x:c r="G1818" s="17"/>
      <x:c r="H1818" s="17"/>
      <x:c r="I1818" s="17"/>
      <x:c r="J1818" s="17"/>
      <x:c r="K1818" s="17"/>
      <x:c r="L1818" s="17"/>
      <x:c r="M1818" s="17"/>
      <x:c r="N1818" s="22"/>
      <x:c r="O1818" s="17"/>
    </x:row>
    <x:row r="1819">
      <x:c r="A1819" s="17"/>
      <x:c r="B1819" s="20"/>
      <x:c r="C1819" s="21"/>
      <x:c r="D1819" s="17"/>
      <x:c r="E1819" s="17"/>
      <x:c r="F1819" s="17"/>
      <x:c r="G1819" s="17"/>
      <x:c r="H1819" s="17"/>
      <x:c r="I1819" s="17"/>
      <x:c r="J1819" s="17"/>
      <x:c r="K1819" s="17"/>
      <x:c r="L1819" s="17"/>
      <x:c r="M1819" s="17"/>
      <x:c r="N1819" s="22"/>
      <x:c r="O1819" s="17"/>
    </x:row>
    <x:row r="1820">
      <x:c r="A1820" s="17"/>
      <x:c r="B1820" s="20"/>
      <x:c r="C1820" s="21"/>
      <x:c r="D1820" s="17"/>
      <x:c r="E1820" s="17"/>
      <x:c r="F1820" s="17"/>
      <x:c r="G1820" s="17"/>
      <x:c r="H1820" s="17"/>
      <x:c r="I1820" s="17"/>
      <x:c r="J1820" s="17"/>
      <x:c r="K1820" s="17"/>
      <x:c r="L1820" s="17"/>
      <x:c r="M1820" s="17"/>
      <x:c r="N1820" s="22"/>
      <x:c r="O1820" s="17"/>
    </x:row>
    <x:row r="1821">
      <x:c r="A1821" s="17"/>
      <x:c r="B1821" s="20"/>
      <x:c r="C1821" s="21"/>
      <x:c r="D1821" s="17"/>
      <x:c r="E1821" s="17"/>
      <x:c r="F1821" s="17"/>
      <x:c r="G1821" s="17"/>
      <x:c r="H1821" s="17"/>
      <x:c r="I1821" s="17"/>
      <x:c r="J1821" s="17"/>
      <x:c r="K1821" s="17"/>
      <x:c r="L1821" s="17"/>
      <x:c r="M1821" s="17"/>
      <x:c r="N1821" s="22"/>
      <x:c r="O1821" s="17"/>
    </x:row>
    <x:row r="1822">
      <x:c r="A1822" s="17"/>
      <x:c r="B1822" s="20"/>
      <x:c r="C1822" s="21"/>
      <x:c r="D1822" s="17"/>
      <x:c r="E1822" s="17"/>
      <x:c r="F1822" s="17"/>
      <x:c r="G1822" s="17"/>
      <x:c r="H1822" s="17"/>
      <x:c r="I1822" s="17"/>
      <x:c r="J1822" s="17"/>
      <x:c r="K1822" s="17"/>
      <x:c r="L1822" s="17"/>
      <x:c r="M1822" s="17"/>
      <x:c r="N1822" s="22"/>
      <x:c r="O1822" s="17"/>
    </x:row>
    <x:row r="1823">
      <x:c r="A1823" s="17"/>
      <x:c r="B1823" s="20"/>
      <x:c r="C1823" s="21"/>
      <x:c r="D1823" s="17"/>
      <x:c r="E1823" s="17"/>
      <x:c r="F1823" s="17"/>
      <x:c r="G1823" s="17"/>
      <x:c r="H1823" s="17"/>
      <x:c r="I1823" s="17"/>
      <x:c r="J1823" s="17"/>
      <x:c r="K1823" s="17"/>
      <x:c r="L1823" s="17"/>
      <x:c r="M1823" s="17"/>
      <x:c r="N1823" s="22"/>
      <x:c r="O1823" s="17"/>
    </x:row>
    <x:row r="1824">
      <x:c r="A1824" s="17"/>
      <x:c r="B1824" s="20"/>
      <x:c r="C1824" s="21"/>
      <x:c r="D1824" s="17"/>
      <x:c r="E1824" s="17"/>
      <x:c r="F1824" s="17"/>
      <x:c r="G1824" s="17"/>
      <x:c r="H1824" s="17"/>
      <x:c r="I1824" s="17"/>
      <x:c r="J1824" s="17"/>
      <x:c r="K1824" s="17"/>
      <x:c r="L1824" s="17"/>
      <x:c r="M1824" s="17"/>
      <x:c r="N1824" s="22"/>
      <x:c r="O1824" s="17"/>
    </x:row>
    <x:row r="1825">
      <x:c r="A1825" s="17"/>
      <x:c r="B1825" s="20"/>
      <x:c r="C1825" s="21"/>
      <x:c r="D1825" s="17"/>
      <x:c r="E1825" s="17"/>
      <x:c r="F1825" s="17"/>
      <x:c r="G1825" s="17"/>
      <x:c r="H1825" s="17"/>
      <x:c r="I1825" s="17"/>
      <x:c r="J1825" s="17"/>
      <x:c r="K1825" s="17"/>
      <x:c r="L1825" s="17"/>
      <x:c r="M1825" s="17"/>
      <x:c r="N1825" s="22"/>
      <x:c r="O1825" s="17"/>
    </x:row>
    <x:row r="1826">
      <x:c r="A1826" s="17"/>
      <x:c r="B1826" s="20"/>
      <x:c r="C1826" s="21"/>
      <x:c r="D1826" s="17"/>
      <x:c r="E1826" s="17"/>
      <x:c r="F1826" s="17"/>
      <x:c r="G1826" s="17"/>
      <x:c r="H1826" s="17"/>
      <x:c r="I1826" s="17"/>
      <x:c r="J1826" s="17"/>
      <x:c r="K1826" s="17"/>
      <x:c r="L1826" s="17"/>
      <x:c r="M1826" s="17"/>
      <x:c r="N1826" s="22"/>
      <x:c r="O1826" s="17"/>
    </x:row>
    <x:row r="1827">
      <x:c r="A1827" s="17"/>
      <x:c r="B1827" s="20"/>
      <x:c r="C1827" s="21"/>
      <x:c r="D1827" s="17"/>
      <x:c r="E1827" s="17"/>
      <x:c r="F1827" s="17"/>
      <x:c r="G1827" s="17"/>
      <x:c r="H1827" s="17"/>
      <x:c r="I1827" s="17"/>
      <x:c r="J1827" s="17"/>
      <x:c r="K1827" s="17"/>
      <x:c r="L1827" s="17"/>
      <x:c r="M1827" s="17"/>
      <x:c r="N1827" s="22"/>
      <x:c r="O1827" s="17"/>
    </x:row>
    <x:row r="1828">
      <x:c r="A1828" s="17"/>
      <x:c r="B1828" s="20"/>
      <x:c r="C1828" s="21"/>
      <x:c r="D1828" s="17"/>
      <x:c r="E1828" s="17"/>
      <x:c r="F1828" s="17"/>
      <x:c r="G1828" s="17"/>
      <x:c r="H1828" s="17"/>
      <x:c r="I1828" s="17"/>
      <x:c r="J1828" s="17"/>
      <x:c r="K1828" s="17"/>
      <x:c r="L1828" s="17"/>
      <x:c r="M1828" s="17"/>
      <x:c r="N1828" s="22"/>
      <x:c r="O1828" s="17"/>
    </x:row>
    <x:row r="1829">
      <x:c r="A1829" s="17"/>
      <x:c r="B1829" s="20"/>
      <x:c r="C1829" s="21"/>
      <x:c r="D1829" s="17"/>
      <x:c r="E1829" s="17"/>
      <x:c r="F1829" s="17"/>
      <x:c r="G1829" s="17"/>
      <x:c r="H1829" s="17"/>
      <x:c r="I1829" s="17"/>
      <x:c r="J1829" s="17"/>
      <x:c r="K1829" s="17"/>
      <x:c r="L1829" s="17"/>
      <x:c r="M1829" s="17"/>
      <x:c r="N1829" s="22"/>
      <x:c r="O1829" s="17"/>
    </x:row>
    <x:row r="1830">
      <x:c r="A1830" s="17"/>
      <x:c r="B1830" s="20"/>
      <x:c r="C1830" s="21"/>
      <x:c r="D1830" s="17"/>
      <x:c r="E1830" s="17"/>
      <x:c r="F1830" s="17"/>
      <x:c r="G1830" s="17"/>
      <x:c r="H1830" s="17"/>
      <x:c r="I1830" s="17"/>
      <x:c r="J1830" s="17"/>
      <x:c r="K1830" s="17"/>
      <x:c r="L1830" s="17"/>
      <x:c r="M1830" s="17"/>
      <x:c r="N1830" s="22"/>
      <x:c r="O1830" s="17"/>
    </x:row>
    <x:row r="1831">
      <x:c r="A1831" s="17"/>
      <x:c r="B1831" s="20"/>
      <x:c r="C1831" s="21"/>
      <x:c r="D1831" s="17"/>
      <x:c r="E1831" s="17"/>
      <x:c r="F1831" s="17"/>
      <x:c r="G1831" s="17"/>
      <x:c r="H1831" s="17"/>
      <x:c r="I1831" s="17"/>
      <x:c r="J1831" s="17"/>
      <x:c r="K1831" s="17"/>
      <x:c r="L1831" s="17"/>
      <x:c r="M1831" s="17"/>
      <x:c r="N1831" s="22"/>
      <x:c r="O1831" s="17"/>
    </x:row>
    <x:row r="1832">
      <x:c r="A1832" s="17"/>
      <x:c r="B1832" s="20"/>
      <x:c r="C1832" s="21"/>
      <x:c r="D1832" s="17"/>
      <x:c r="E1832" s="17"/>
      <x:c r="F1832" s="17"/>
      <x:c r="G1832" s="17"/>
      <x:c r="H1832" s="17"/>
      <x:c r="I1832" s="17"/>
      <x:c r="J1832" s="17"/>
      <x:c r="K1832" s="17"/>
      <x:c r="L1832" s="17"/>
      <x:c r="M1832" s="17"/>
      <x:c r="N1832" s="22"/>
      <x:c r="O1832" s="17"/>
    </x:row>
    <x:row r="1833">
      <x:c r="A1833" s="17"/>
      <x:c r="B1833" s="20"/>
      <x:c r="C1833" s="21"/>
      <x:c r="D1833" s="17"/>
      <x:c r="E1833" s="17"/>
      <x:c r="F1833" s="17"/>
      <x:c r="G1833" s="17"/>
      <x:c r="H1833" s="17"/>
      <x:c r="I1833" s="17"/>
      <x:c r="J1833" s="17"/>
      <x:c r="K1833" s="17"/>
      <x:c r="L1833" s="17"/>
      <x:c r="M1833" s="17"/>
      <x:c r="N1833" s="22"/>
      <x:c r="O1833" s="17"/>
    </x:row>
    <x:row r="1834">
      <x:c r="A1834" s="17"/>
      <x:c r="B1834" s="20"/>
      <x:c r="C1834" s="21"/>
      <x:c r="D1834" s="17"/>
      <x:c r="E1834" s="17"/>
      <x:c r="F1834" s="17"/>
      <x:c r="G1834" s="17"/>
      <x:c r="H1834" s="17"/>
      <x:c r="I1834" s="17"/>
      <x:c r="J1834" s="17"/>
      <x:c r="K1834" s="17"/>
      <x:c r="L1834" s="17"/>
      <x:c r="M1834" s="17"/>
      <x:c r="N1834" s="22"/>
      <x:c r="O1834" s="17"/>
    </x:row>
    <x:row r="1835">
      <x:c r="A1835" s="17"/>
      <x:c r="B1835" s="20"/>
      <x:c r="C1835" s="21"/>
      <x:c r="D1835" s="17"/>
      <x:c r="E1835" s="17"/>
      <x:c r="F1835" s="17"/>
      <x:c r="G1835" s="17"/>
      <x:c r="H1835" s="17"/>
      <x:c r="I1835" s="17"/>
      <x:c r="J1835" s="17"/>
      <x:c r="K1835" s="17"/>
      <x:c r="L1835" s="17"/>
      <x:c r="M1835" s="17"/>
      <x:c r="N1835" s="22"/>
      <x:c r="O1835" s="17"/>
    </x:row>
    <x:row r="1836">
      <x:c r="A1836" s="17"/>
      <x:c r="B1836" s="20"/>
      <x:c r="C1836" s="21"/>
      <x:c r="D1836" s="17"/>
      <x:c r="E1836" s="17"/>
      <x:c r="F1836" s="17"/>
      <x:c r="G1836" s="17"/>
      <x:c r="H1836" s="17"/>
      <x:c r="I1836" s="17"/>
      <x:c r="J1836" s="17"/>
      <x:c r="K1836" s="17"/>
      <x:c r="L1836" s="17"/>
      <x:c r="M1836" s="17"/>
      <x:c r="N1836" s="22"/>
      <x:c r="O1836" s="17"/>
    </x:row>
    <x:row r="1837">
      <x:c r="A1837" s="17"/>
      <x:c r="B1837" s="20"/>
      <x:c r="C1837" s="21"/>
      <x:c r="D1837" s="17"/>
      <x:c r="E1837" s="17"/>
      <x:c r="F1837" s="17"/>
      <x:c r="G1837" s="17"/>
      <x:c r="H1837" s="17"/>
      <x:c r="I1837" s="17"/>
      <x:c r="J1837" s="17"/>
      <x:c r="K1837" s="17"/>
      <x:c r="L1837" s="17"/>
      <x:c r="M1837" s="17"/>
      <x:c r="N1837" s="22"/>
      <x:c r="O1837" s="17"/>
    </x:row>
    <x:row r="1838">
      <x:c r="A1838" s="17"/>
      <x:c r="B1838" s="20"/>
      <x:c r="C1838" s="21"/>
      <x:c r="D1838" s="17"/>
      <x:c r="E1838" s="17"/>
      <x:c r="F1838" s="17"/>
      <x:c r="G1838" s="17"/>
      <x:c r="H1838" s="17"/>
      <x:c r="I1838" s="17"/>
      <x:c r="J1838" s="17"/>
      <x:c r="K1838" s="17"/>
      <x:c r="L1838" s="17"/>
      <x:c r="M1838" s="17"/>
      <x:c r="N1838" s="22"/>
      <x:c r="O1838" s="17"/>
    </x:row>
    <x:row r="1839">
      <x:c r="A1839" s="17"/>
      <x:c r="B1839" s="20"/>
      <x:c r="C1839" s="21"/>
      <x:c r="D1839" s="17"/>
      <x:c r="E1839" s="17"/>
      <x:c r="F1839" s="17"/>
      <x:c r="G1839" s="17"/>
      <x:c r="H1839" s="17"/>
      <x:c r="I1839" s="17"/>
      <x:c r="J1839" s="17"/>
      <x:c r="K1839" s="17"/>
      <x:c r="L1839" s="17"/>
      <x:c r="M1839" s="17"/>
      <x:c r="N1839" s="22"/>
      <x:c r="O1839" s="17"/>
    </x:row>
    <x:row r="1840">
      <x:c r="A1840" s="17"/>
      <x:c r="B1840" s="20"/>
      <x:c r="C1840" s="21"/>
      <x:c r="D1840" s="17"/>
      <x:c r="E1840" s="17"/>
      <x:c r="F1840" s="17"/>
      <x:c r="G1840" s="17"/>
      <x:c r="H1840" s="17"/>
      <x:c r="I1840" s="17"/>
      <x:c r="J1840" s="17"/>
      <x:c r="K1840" s="17"/>
      <x:c r="L1840" s="17"/>
      <x:c r="M1840" s="17"/>
      <x:c r="N1840" s="22"/>
      <x:c r="O1840" s="17"/>
    </x:row>
    <x:row r="1841">
      <x:c r="A1841" s="17"/>
      <x:c r="B1841" s="20"/>
      <x:c r="C1841" s="21"/>
      <x:c r="D1841" s="17"/>
      <x:c r="E1841" s="17"/>
      <x:c r="F1841" s="17"/>
      <x:c r="G1841" s="17"/>
      <x:c r="H1841" s="17"/>
      <x:c r="I1841" s="17"/>
      <x:c r="J1841" s="17"/>
      <x:c r="K1841" s="17"/>
      <x:c r="L1841" s="17"/>
      <x:c r="M1841" s="17"/>
      <x:c r="N1841" s="22"/>
      <x:c r="O1841" s="17"/>
    </x:row>
    <x:row r="1842">
      <x:c r="A1842" s="17"/>
      <x:c r="B1842" s="20"/>
      <x:c r="C1842" s="21"/>
      <x:c r="D1842" s="17"/>
      <x:c r="E1842" s="17"/>
      <x:c r="F1842" s="17"/>
      <x:c r="G1842" s="17"/>
      <x:c r="H1842" s="17"/>
      <x:c r="I1842" s="17"/>
      <x:c r="J1842" s="17"/>
      <x:c r="K1842" s="17"/>
      <x:c r="L1842" s="17"/>
      <x:c r="M1842" s="17"/>
      <x:c r="N1842" s="22"/>
      <x:c r="O1842" s="17"/>
    </x:row>
    <x:row r="1843">
      <x:c r="A1843" s="17"/>
      <x:c r="B1843" s="20"/>
      <x:c r="C1843" s="21"/>
      <x:c r="D1843" s="17"/>
      <x:c r="E1843" s="17"/>
      <x:c r="F1843" s="17"/>
      <x:c r="G1843" s="17"/>
      <x:c r="H1843" s="17"/>
      <x:c r="I1843" s="17"/>
      <x:c r="J1843" s="17"/>
      <x:c r="K1843" s="17"/>
      <x:c r="L1843" s="17"/>
      <x:c r="M1843" s="17"/>
      <x:c r="N1843" s="22"/>
      <x:c r="O1843" s="17"/>
    </x:row>
    <x:row r="1844">
      <x:c r="A1844" s="17"/>
      <x:c r="B1844" s="20"/>
      <x:c r="C1844" s="21"/>
      <x:c r="D1844" s="17"/>
      <x:c r="E1844" s="17"/>
      <x:c r="F1844" s="17"/>
      <x:c r="G1844" s="17"/>
      <x:c r="H1844" s="17"/>
      <x:c r="I1844" s="17"/>
      <x:c r="J1844" s="17"/>
      <x:c r="K1844" s="17"/>
      <x:c r="L1844" s="17"/>
      <x:c r="M1844" s="17"/>
      <x:c r="N1844" s="22"/>
      <x:c r="O1844" s="17"/>
    </x:row>
    <x:row r="1845">
      <x:c r="A1845" s="17"/>
      <x:c r="B1845" s="20"/>
      <x:c r="C1845" s="21"/>
      <x:c r="D1845" s="17"/>
      <x:c r="E1845" s="17"/>
      <x:c r="F1845" s="17"/>
      <x:c r="G1845" s="17"/>
      <x:c r="H1845" s="17"/>
      <x:c r="I1845" s="17"/>
      <x:c r="J1845" s="17"/>
      <x:c r="K1845" s="17"/>
      <x:c r="L1845" s="17"/>
      <x:c r="M1845" s="17"/>
      <x:c r="N1845" s="22"/>
      <x:c r="O1845" s="17"/>
    </x:row>
    <x:row r="1846">
      <x:c r="A1846" s="17"/>
      <x:c r="B1846" s="20"/>
      <x:c r="C1846" s="21"/>
      <x:c r="D1846" s="17"/>
      <x:c r="E1846" s="17"/>
      <x:c r="F1846" s="17"/>
      <x:c r="G1846" s="17"/>
      <x:c r="H1846" s="17"/>
      <x:c r="I1846" s="17"/>
      <x:c r="J1846" s="17"/>
      <x:c r="K1846" s="17"/>
      <x:c r="L1846" s="17"/>
      <x:c r="M1846" s="17"/>
      <x:c r="N1846" s="22"/>
      <x:c r="O1846" s="17"/>
    </x:row>
    <x:row r="1847">
      <x:c r="A1847" s="17"/>
      <x:c r="B1847" s="20"/>
      <x:c r="C1847" s="21"/>
      <x:c r="D1847" s="17"/>
      <x:c r="E1847" s="17"/>
      <x:c r="F1847" s="17"/>
      <x:c r="G1847" s="17"/>
      <x:c r="H1847" s="17"/>
      <x:c r="I1847" s="17"/>
      <x:c r="J1847" s="17"/>
      <x:c r="K1847" s="17"/>
      <x:c r="L1847" s="17"/>
      <x:c r="M1847" s="17"/>
      <x:c r="N1847" s="22"/>
      <x:c r="O1847" s="17"/>
    </x:row>
    <x:row r="1848">
      <x:c r="A1848" s="17"/>
      <x:c r="B1848" s="20"/>
      <x:c r="C1848" s="21"/>
      <x:c r="D1848" s="17"/>
      <x:c r="E1848" s="17"/>
      <x:c r="F1848" s="17"/>
      <x:c r="G1848" s="17"/>
      <x:c r="H1848" s="17"/>
      <x:c r="I1848" s="17"/>
      <x:c r="J1848" s="17"/>
      <x:c r="K1848" s="17"/>
      <x:c r="L1848" s="17"/>
      <x:c r="M1848" s="17"/>
      <x:c r="N1848" s="22"/>
      <x:c r="O1848" s="17"/>
    </x:row>
    <x:row r="1849">
      <x:c r="A1849" s="17"/>
      <x:c r="B1849" s="20"/>
      <x:c r="C1849" s="21"/>
      <x:c r="D1849" s="17"/>
      <x:c r="E1849" s="17"/>
      <x:c r="F1849" s="17"/>
      <x:c r="G1849" s="17"/>
      <x:c r="H1849" s="17"/>
      <x:c r="I1849" s="17"/>
      <x:c r="J1849" s="17"/>
      <x:c r="K1849" s="17"/>
      <x:c r="L1849" s="17"/>
      <x:c r="M1849" s="17"/>
      <x:c r="N1849" s="22"/>
      <x:c r="O1849" s="17"/>
    </x:row>
    <x:row r="1850">
      <x:c r="A1850" s="17"/>
      <x:c r="B1850" s="20"/>
      <x:c r="C1850" s="21"/>
      <x:c r="D1850" s="17"/>
      <x:c r="E1850" s="17"/>
      <x:c r="F1850" s="17"/>
      <x:c r="G1850" s="17"/>
      <x:c r="H1850" s="17"/>
      <x:c r="I1850" s="17"/>
      <x:c r="J1850" s="17"/>
      <x:c r="K1850" s="17"/>
      <x:c r="L1850" s="17"/>
      <x:c r="M1850" s="17"/>
      <x:c r="N1850" s="22"/>
      <x:c r="O1850" s="17"/>
    </x:row>
    <x:row r="1851">
      <x:c r="A1851" s="17"/>
      <x:c r="B1851" s="20"/>
      <x:c r="C1851" s="21"/>
      <x:c r="D1851" s="17"/>
      <x:c r="E1851" s="17"/>
      <x:c r="F1851" s="17"/>
      <x:c r="G1851" s="17"/>
      <x:c r="H1851" s="17"/>
      <x:c r="I1851" s="17"/>
      <x:c r="J1851" s="17"/>
      <x:c r="K1851" s="17"/>
      <x:c r="L1851" s="17"/>
      <x:c r="M1851" s="17"/>
      <x:c r="N1851" s="22"/>
      <x:c r="O1851" s="17"/>
    </x:row>
    <x:row r="1852">
      <x:c r="A1852" s="17"/>
      <x:c r="B1852" s="20"/>
      <x:c r="C1852" s="21"/>
      <x:c r="D1852" s="17"/>
      <x:c r="E1852" s="17"/>
      <x:c r="F1852" s="17"/>
      <x:c r="G1852" s="17"/>
      <x:c r="H1852" s="17"/>
      <x:c r="I1852" s="17"/>
      <x:c r="J1852" s="17"/>
      <x:c r="K1852" s="17"/>
      <x:c r="L1852" s="17"/>
      <x:c r="M1852" s="17"/>
      <x:c r="N1852" s="22"/>
      <x:c r="O1852" s="17"/>
    </x:row>
    <x:row r="1853">
      <x:c r="A1853" s="17"/>
      <x:c r="B1853" s="20"/>
      <x:c r="C1853" s="21"/>
      <x:c r="D1853" s="17"/>
      <x:c r="E1853" s="17"/>
      <x:c r="F1853" s="17"/>
      <x:c r="G1853" s="17"/>
      <x:c r="H1853" s="17"/>
      <x:c r="I1853" s="17"/>
      <x:c r="J1853" s="17"/>
      <x:c r="K1853" s="17"/>
      <x:c r="L1853" s="17"/>
      <x:c r="M1853" s="17"/>
      <x:c r="N1853" s="22"/>
      <x:c r="O1853" s="17"/>
    </x:row>
    <x:row r="1854">
      <x:c r="A1854" s="17"/>
      <x:c r="B1854" s="20"/>
      <x:c r="C1854" s="21"/>
      <x:c r="D1854" s="17"/>
      <x:c r="E1854" s="17"/>
      <x:c r="F1854" s="17"/>
      <x:c r="G1854" s="17"/>
      <x:c r="H1854" s="17"/>
      <x:c r="I1854" s="17"/>
      <x:c r="J1854" s="17"/>
      <x:c r="K1854" s="17"/>
      <x:c r="L1854" s="17"/>
      <x:c r="M1854" s="17"/>
      <x:c r="N1854" s="22"/>
      <x:c r="O1854" s="17"/>
    </x:row>
    <x:row r="1855">
      <x:c r="A1855" s="17"/>
      <x:c r="B1855" s="20"/>
      <x:c r="C1855" s="21"/>
      <x:c r="D1855" s="17"/>
      <x:c r="E1855" s="17"/>
      <x:c r="F1855" s="17"/>
      <x:c r="G1855" s="17"/>
      <x:c r="H1855" s="17"/>
      <x:c r="I1855" s="17"/>
      <x:c r="J1855" s="17"/>
      <x:c r="K1855" s="17"/>
      <x:c r="L1855" s="17"/>
      <x:c r="M1855" s="17"/>
      <x:c r="N1855" s="22"/>
      <x:c r="O1855" s="17"/>
    </x:row>
    <x:row r="1856">
      <x:c r="A1856" s="17"/>
      <x:c r="B1856" s="20"/>
      <x:c r="C1856" s="21"/>
      <x:c r="D1856" s="17"/>
      <x:c r="E1856" s="17"/>
      <x:c r="F1856" s="17"/>
      <x:c r="G1856" s="17"/>
      <x:c r="H1856" s="17"/>
      <x:c r="I1856" s="17"/>
      <x:c r="J1856" s="17"/>
      <x:c r="K1856" s="17"/>
      <x:c r="L1856" s="17"/>
      <x:c r="M1856" s="17"/>
      <x:c r="N1856" s="22"/>
      <x:c r="O1856" s="17"/>
    </x:row>
    <x:row r="1857">
      <x:c r="A1857" s="17"/>
      <x:c r="B1857" s="20"/>
      <x:c r="C1857" s="21"/>
      <x:c r="D1857" s="17"/>
      <x:c r="E1857" s="17"/>
      <x:c r="F1857" s="17"/>
      <x:c r="G1857" s="17"/>
      <x:c r="H1857" s="17"/>
      <x:c r="I1857" s="17"/>
      <x:c r="J1857" s="17"/>
      <x:c r="K1857" s="17"/>
      <x:c r="L1857" s="17"/>
      <x:c r="M1857" s="17"/>
      <x:c r="N1857" s="22"/>
      <x:c r="O1857" s="17"/>
    </x:row>
    <x:row r="1858">
      <x:c r="A1858" s="17"/>
      <x:c r="B1858" s="20"/>
      <x:c r="C1858" s="21"/>
      <x:c r="D1858" s="17"/>
      <x:c r="E1858" s="17"/>
      <x:c r="F1858" s="17"/>
      <x:c r="G1858" s="17"/>
      <x:c r="H1858" s="17"/>
      <x:c r="I1858" s="17"/>
      <x:c r="J1858" s="17"/>
      <x:c r="K1858" s="17"/>
      <x:c r="L1858" s="17"/>
      <x:c r="M1858" s="17"/>
      <x:c r="N1858" s="22"/>
      <x:c r="O1858" s="17"/>
    </x:row>
    <x:row r="1859">
      <x:c r="A1859" s="17"/>
      <x:c r="B1859" s="20"/>
      <x:c r="C1859" s="21"/>
      <x:c r="D1859" s="17"/>
      <x:c r="E1859" s="17"/>
      <x:c r="F1859" s="17"/>
      <x:c r="G1859" s="17"/>
      <x:c r="H1859" s="17"/>
      <x:c r="I1859" s="17"/>
      <x:c r="J1859" s="17"/>
      <x:c r="K1859" s="17"/>
      <x:c r="L1859" s="17"/>
      <x:c r="M1859" s="17"/>
      <x:c r="N1859" s="22"/>
      <x:c r="O1859" s="17"/>
    </x:row>
    <x:row r="1860">
      <x:c r="A1860" s="17"/>
      <x:c r="B1860" s="20"/>
      <x:c r="C1860" s="21"/>
      <x:c r="D1860" s="17"/>
      <x:c r="E1860" s="17"/>
      <x:c r="F1860" s="17"/>
      <x:c r="G1860" s="17"/>
      <x:c r="H1860" s="17"/>
      <x:c r="I1860" s="17"/>
      <x:c r="J1860" s="17"/>
      <x:c r="K1860" s="17"/>
      <x:c r="L1860" s="17"/>
      <x:c r="M1860" s="17"/>
      <x:c r="N1860" s="22"/>
      <x:c r="O1860" s="17"/>
    </x:row>
    <x:row r="1861">
      <x:c r="A1861" s="17"/>
      <x:c r="B1861" s="20"/>
      <x:c r="C1861" s="21"/>
      <x:c r="D1861" s="17"/>
      <x:c r="E1861" s="17"/>
      <x:c r="F1861" s="17"/>
      <x:c r="G1861" s="17"/>
      <x:c r="H1861" s="17"/>
      <x:c r="I1861" s="17"/>
      <x:c r="J1861" s="17"/>
      <x:c r="K1861" s="17"/>
      <x:c r="L1861" s="17"/>
      <x:c r="M1861" s="17"/>
      <x:c r="N1861" s="22"/>
      <x:c r="O1861" s="17"/>
    </x:row>
    <x:row r="1862">
      <x:c r="A1862" s="17"/>
      <x:c r="B1862" s="20"/>
      <x:c r="C1862" s="21"/>
      <x:c r="D1862" s="17"/>
      <x:c r="E1862" s="17"/>
      <x:c r="F1862" s="17"/>
      <x:c r="G1862" s="17"/>
      <x:c r="H1862" s="17"/>
      <x:c r="I1862" s="17"/>
      <x:c r="J1862" s="17"/>
      <x:c r="K1862" s="17"/>
      <x:c r="L1862" s="17"/>
      <x:c r="M1862" s="17"/>
      <x:c r="N1862" s="22"/>
      <x:c r="O1862" s="17"/>
    </x:row>
    <x:row r="1863">
      <x:c r="A1863" s="17"/>
      <x:c r="B1863" s="20"/>
      <x:c r="C1863" s="21"/>
      <x:c r="D1863" s="17"/>
      <x:c r="E1863" s="17"/>
      <x:c r="F1863" s="17"/>
      <x:c r="G1863" s="17"/>
      <x:c r="H1863" s="17"/>
      <x:c r="I1863" s="17"/>
      <x:c r="J1863" s="17"/>
      <x:c r="K1863" s="17"/>
      <x:c r="L1863" s="17"/>
      <x:c r="M1863" s="17"/>
      <x:c r="N1863" s="22"/>
      <x:c r="O1863" s="17"/>
    </x:row>
    <x:row r="1864">
      <x:c r="A1864" s="17"/>
      <x:c r="B1864" s="20"/>
      <x:c r="C1864" s="21"/>
      <x:c r="D1864" s="17"/>
      <x:c r="E1864" s="17"/>
      <x:c r="F1864" s="17"/>
      <x:c r="G1864" s="17"/>
      <x:c r="H1864" s="17"/>
      <x:c r="I1864" s="17"/>
      <x:c r="J1864" s="17"/>
      <x:c r="K1864" s="17"/>
      <x:c r="L1864" s="17"/>
      <x:c r="M1864" s="17"/>
      <x:c r="N1864" s="22"/>
      <x:c r="O1864" s="17"/>
    </x:row>
    <x:row r="1865">
      <x:c r="A1865" s="17"/>
      <x:c r="B1865" s="20"/>
      <x:c r="C1865" s="21"/>
      <x:c r="D1865" s="17"/>
      <x:c r="E1865" s="17"/>
      <x:c r="F1865" s="17"/>
      <x:c r="G1865" s="17"/>
      <x:c r="H1865" s="17"/>
      <x:c r="I1865" s="17"/>
      <x:c r="J1865" s="17"/>
      <x:c r="K1865" s="17"/>
      <x:c r="L1865" s="17"/>
      <x:c r="M1865" s="17"/>
      <x:c r="N1865" s="22"/>
      <x:c r="O1865" s="17"/>
    </x:row>
    <x:row r="1866">
      <x:c r="A1866" s="17"/>
      <x:c r="B1866" s="20"/>
      <x:c r="C1866" s="21"/>
      <x:c r="D1866" s="17"/>
      <x:c r="E1866" s="17"/>
      <x:c r="F1866" s="17"/>
      <x:c r="G1866" s="17"/>
      <x:c r="H1866" s="17"/>
      <x:c r="I1866" s="17"/>
      <x:c r="J1866" s="17"/>
      <x:c r="K1866" s="17"/>
      <x:c r="L1866" s="17"/>
      <x:c r="M1866" s="17"/>
      <x:c r="N1866" s="22"/>
      <x:c r="O1866" s="17"/>
    </x:row>
    <x:row r="1867">
      <x:c r="A1867" s="17"/>
      <x:c r="B1867" s="20"/>
      <x:c r="C1867" s="21"/>
      <x:c r="D1867" s="17"/>
      <x:c r="E1867" s="17"/>
      <x:c r="F1867" s="17"/>
      <x:c r="G1867" s="17"/>
      <x:c r="H1867" s="17"/>
      <x:c r="I1867" s="17"/>
      <x:c r="J1867" s="17"/>
      <x:c r="K1867" s="17"/>
      <x:c r="L1867" s="17"/>
      <x:c r="M1867" s="17"/>
      <x:c r="N1867" s="22"/>
      <x:c r="O1867" s="17"/>
    </x:row>
    <x:row r="1868">
      <x:c r="A1868" s="17"/>
      <x:c r="B1868" s="20"/>
      <x:c r="C1868" s="21"/>
      <x:c r="D1868" s="17"/>
      <x:c r="E1868" s="17"/>
      <x:c r="F1868" s="17"/>
      <x:c r="G1868" s="17"/>
      <x:c r="H1868" s="17"/>
      <x:c r="I1868" s="17"/>
      <x:c r="J1868" s="17"/>
      <x:c r="K1868" s="17"/>
      <x:c r="L1868" s="17"/>
      <x:c r="M1868" s="17"/>
      <x:c r="N1868" s="22"/>
      <x:c r="O1868" s="17"/>
    </x:row>
    <x:row r="1869">
      <x:c r="A1869" s="17"/>
      <x:c r="B1869" s="20"/>
      <x:c r="C1869" s="21"/>
      <x:c r="D1869" s="17"/>
      <x:c r="E1869" s="17"/>
      <x:c r="F1869" s="17"/>
      <x:c r="G1869" s="17"/>
      <x:c r="H1869" s="17"/>
      <x:c r="I1869" s="17"/>
      <x:c r="J1869" s="17"/>
      <x:c r="K1869" s="17"/>
      <x:c r="L1869" s="17"/>
      <x:c r="M1869" s="17"/>
      <x:c r="N1869" s="22"/>
      <x:c r="O1869" s="17"/>
    </x:row>
    <x:row r="1870">
      <x:c r="A1870" s="17"/>
      <x:c r="B1870" s="20"/>
      <x:c r="C1870" s="21"/>
      <x:c r="D1870" s="17"/>
      <x:c r="E1870" s="17"/>
      <x:c r="F1870" s="17"/>
      <x:c r="G1870" s="17"/>
      <x:c r="H1870" s="17"/>
      <x:c r="I1870" s="17"/>
      <x:c r="J1870" s="17"/>
      <x:c r="K1870" s="17"/>
      <x:c r="L1870" s="17"/>
      <x:c r="M1870" s="17"/>
      <x:c r="N1870" s="22"/>
      <x:c r="O1870" s="17"/>
    </x:row>
    <x:row r="1871">
      <x:c r="A1871" s="17"/>
      <x:c r="B1871" s="20"/>
      <x:c r="C1871" s="21"/>
      <x:c r="D1871" s="17"/>
      <x:c r="E1871" s="17"/>
      <x:c r="F1871" s="17"/>
      <x:c r="G1871" s="17"/>
      <x:c r="H1871" s="17"/>
      <x:c r="I1871" s="17"/>
      <x:c r="J1871" s="17"/>
      <x:c r="K1871" s="17"/>
      <x:c r="L1871" s="17"/>
      <x:c r="M1871" s="17"/>
      <x:c r="N1871" s="22"/>
      <x:c r="O1871" s="17"/>
    </x:row>
    <x:row r="1872">
      <x:c r="A1872" s="17"/>
      <x:c r="B1872" s="20"/>
      <x:c r="C1872" s="21"/>
      <x:c r="D1872" s="17"/>
      <x:c r="E1872" s="17"/>
      <x:c r="F1872" s="17"/>
      <x:c r="G1872" s="17"/>
      <x:c r="H1872" s="17"/>
      <x:c r="I1872" s="17"/>
      <x:c r="J1872" s="17"/>
      <x:c r="K1872" s="17"/>
      <x:c r="L1872" s="17"/>
      <x:c r="M1872" s="17"/>
      <x:c r="N1872" s="22"/>
      <x:c r="O1872" s="17"/>
    </x:row>
    <x:row r="1873">
      <x:c r="A1873" s="17"/>
      <x:c r="B1873" s="20"/>
      <x:c r="C1873" s="21"/>
      <x:c r="D1873" s="17"/>
      <x:c r="E1873" s="17"/>
      <x:c r="F1873" s="17"/>
      <x:c r="G1873" s="17"/>
      <x:c r="H1873" s="17"/>
      <x:c r="I1873" s="17"/>
      <x:c r="J1873" s="17"/>
      <x:c r="K1873" s="17"/>
      <x:c r="L1873" s="17"/>
      <x:c r="M1873" s="17"/>
      <x:c r="N1873" s="22"/>
      <x:c r="O1873" s="17"/>
    </x:row>
    <x:row r="1874">
      <x:c r="A1874" s="17"/>
      <x:c r="B1874" s="20"/>
      <x:c r="C1874" s="21"/>
      <x:c r="D1874" s="17"/>
      <x:c r="E1874" s="17"/>
      <x:c r="F1874" s="17"/>
      <x:c r="G1874" s="17"/>
      <x:c r="H1874" s="17"/>
      <x:c r="I1874" s="17"/>
      <x:c r="J1874" s="17"/>
      <x:c r="K1874" s="17"/>
      <x:c r="L1874" s="17"/>
      <x:c r="M1874" s="17"/>
      <x:c r="N1874" s="22"/>
      <x:c r="O1874" s="17"/>
    </x:row>
    <x:row r="1875">
      <x:c r="A1875" s="17"/>
      <x:c r="B1875" s="20"/>
      <x:c r="C1875" s="21"/>
      <x:c r="D1875" s="17"/>
      <x:c r="E1875" s="17"/>
      <x:c r="F1875" s="17"/>
      <x:c r="G1875" s="17"/>
      <x:c r="H1875" s="17"/>
      <x:c r="I1875" s="17"/>
      <x:c r="J1875" s="17"/>
      <x:c r="K1875" s="17"/>
      <x:c r="L1875" s="17"/>
      <x:c r="M1875" s="17"/>
      <x:c r="N1875" s="22"/>
      <x:c r="O1875" s="17"/>
    </x:row>
    <x:row r="1876">
      <x:c r="A1876" s="17"/>
      <x:c r="B1876" s="20"/>
      <x:c r="C1876" s="21"/>
      <x:c r="D1876" s="17"/>
      <x:c r="E1876" s="17"/>
      <x:c r="F1876" s="17"/>
      <x:c r="G1876" s="17"/>
      <x:c r="H1876" s="17"/>
      <x:c r="I1876" s="17"/>
      <x:c r="J1876" s="17"/>
      <x:c r="K1876" s="17"/>
      <x:c r="L1876" s="17"/>
      <x:c r="M1876" s="17"/>
      <x:c r="N1876" s="22"/>
      <x:c r="O1876" s="17"/>
    </x:row>
    <x:row r="1877">
      <x:c r="A1877" s="17"/>
      <x:c r="B1877" s="20"/>
      <x:c r="C1877" s="21"/>
      <x:c r="D1877" s="17"/>
      <x:c r="E1877" s="17"/>
      <x:c r="F1877" s="17"/>
      <x:c r="G1877" s="17"/>
      <x:c r="H1877" s="17"/>
      <x:c r="I1877" s="17"/>
      <x:c r="J1877" s="17"/>
      <x:c r="K1877" s="17"/>
      <x:c r="L1877" s="17"/>
      <x:c r="M1877" s="17"/>
      <x:c r="N1877" s="22"/>
      <x:c r="O1877" s="17"/>
    </x:row>
    <x:row r="1878">
      <x:c r="A1878" s="17"/>
      <x:c r="B1878" s="20"/>
      <x:c r="C1878" s="21"/>
      <x:c r="D1878" s="17"/>
      <x:c r="E1878" s="17"/>
      <x:c r="F1878" s="17"/>
      <x:c r="G1878" s="17"/>
      <x:c r="H1878" s="17"/>
      <x:c r="I1878" s="17"/>
      <x:c r="J1878" s="17"/>
      <x:c r="K1878" s="17"/>
      <x:c r="L1878" s="17"/>
      <x:c r="M1878" s="17"/>
      <x:c r="N1878" s="22"/>
      <x:c r="O1878" s="17"/>
    </x:row>
    <x:row r="1879">
      <x:c r="A1879" s="17"/>
      <x:c r="B1879" s="20"/>
      <x:c r="C1879" s="21"/>
      <x:c r="D1879" s="17"/>
      <x:c r="E1879" s="17"/>
      <x:c r="F1879" s="17"/>
      <x:c r="G1879" s="17"/>
      <x:c r="H1879" s="17"/>
      <x:c r="I1879" s="17"/>
      <x:c r="J1879" s="17"/>
      <x:c r="K1879" s="17"/>
      <x:c r="L1879" s="17"/>
      <x:c r="M1879" s="17"/>
      <x:c r="N1879" s="22"/>
      <x:c r="O1879" s="17"/>
    </x:row>
    <x:row r="1880">
      <x:c r="A1880" s="17"/>
      <x:c r="B1880" s="20"/>
      <x:c r="C1880" s="21"/>
      <x:c r="D1880" s="17"/>
      <x:c r="E1880" s="17"/>
      <x:c r="F1880" s="17"/>
      <x:c r="G1880" s="17"/>
      <x:c r="H1880" s="17"/>
      <x:c r="I1880" s="17"/>
      <x:c r="J1880" s="17"/>
      <x:c r="K1880" s="17"/>
      <x:c r="L1880" s="17"/>
      <x:c r="M1880" s="17"/>
      <x:c r="N1880" s="22"/>
      <x:c r="O1880" s="17"/>
    </x:row>
    <x:row r="1881">
      <x:c r="A1881" s="17"/>
      <x:c r="B1881" s="20"/>
      <x:c r="C1881" s="21"/>
      <x:c r="D1881" s="17"/>
      <x:c r="E1881" s="17"/>
      <x:c r="F1881" s="17"/>
      <x:c r="G1881" s="17"/>
      <x:c r="H1881" s="17"/>
      <x:c r="I1881" s="17"/>
      <x:c r="J1881" s="17"/>
      <x:c r="K1881" s="17"/>
      <x:c r="L1881" s="17"/>
      <x:c r="M1881" s="17"/>
      <x:c r="N1881" s="22"/>
      <x:c r="O1881" s="17"/>
    </x:row>
    <x:row r="1882">
      <x:c r="A1882" s="17"/>
      <x:c r="B1882" s="20"/>
      <x:c r="C1882" s="21"/>
      <x:c r="D1882" s="17"/>
      <x:c r="E1882" s="17"/>
      <x:c r="F1882" s="17"/>
      <x:c r="G1882" s="17"/>
      <x:c r="H1882" s="17"/>
      <x:c r="I1882" s="17"/>
      <x:c r="J1882" s="17"/>
      <x:c r="K1882" s="17"/>
      <x:c r="L1882" s="17"/>
      <x:c r="M1882" s="17"/>
      <x:c r="N1882" s="22"/>
      <x:c r="O1882" s="17"/>
    </x:row>
    <x:row r="1883">
      <x:c r="A1883" s="17"/>
      <x:c r="B1883" s="20"/>
      <x:c r="C1883" s="21"/>
      <x:c r="D1883" s="17"/>
      <x:c r="E1883" s="17"/>
      <x:c r="F1883" s="17"/>
      <x:c r="G1883" s="17"/>
      <x:c r="H1883" s="17"/>
      <x:c r="I1883" s="17"/>
      <x:c r="J1883" s="17"/>
      <x:c r="K1883" s="17"/>
      <x:c r="L1883" s="17"/>
      <x:c r="M1883" s="17"/>
      <x:c r="N1883" s="22"/>
      <x:c r="O1883" s="17"/>
    </x:row>
    <x:row r="1884">
      <x:c r="A1884" s="17"/>
      <x:c r="B1884" s="20"/>
      <x:c r="C1884" s="21"/>
      <x:c r="D1884" s="17"/>
      <x:c r="E1884" s="17"/>
      <x:c r="F1884" s="17"/>
      <x:c r="G1884" s="17"/>
      <x:c r="H1884" s="17"/>
      <x:c r="I1884" s="17"/>
      <x:c r="J1884" s="17"/>
      <x:c r="K1884" s="17"/>
      <x:c r="L1884" s="17"/>
      <x:c r="M1884" s="17"/>
      <x:c r="N1884" s="22"/>
      <x:c r="O1884" s="17"/>
    </x:row>
    <x:row r="1885">
      <x:c r="A1885" s="17"/>
      <x:c r="B1885" s="20"/>
      <x:c r="C1885" s="21"/>
      <x:c r="D1885" s="17"/>
      <x:c r="E1885" s="17"/>
      <x:c r="F1885" s="17"/>
      <x:c r="G1885" s="17"/>
      <x:c r="H1885" s="17"/>
      <x:c r="I1885" s="17"/>
      <x:c r="J1885" s="17"/>
      <x:c r="K1885" s="17"/>
      <x:c r="L1885" s="17"/>
      <x:c r="M1885" s="17"/>
      <x:c r="N1885" s="22"/>
      <x:c r="O1885" s="17"/>
    </x:row>
    <x:row r="1886">
      <x:c r="A1886" s="17"/>
      <x:c r="B1886" s="20"/>
      <x:c r="C1886" s="21"/>
      <x:c r="D1886" s="17"/>
      <x:c r="E1886" s="17"/>
      <x:c r="F1886" s="17"/>
      <x:c r="G1886" s="17"/>
      <x:c r="H1886" s="17"/>
      <x:c r="I1886" s="17"/>
      <x:c r="J1886" s="17"/>
      <x:c r="K1886" s="17"/>
      <x:c r="L1886" s="17"/>
      <x:c r="M1886" s="17"/>
      <x:c r="N1886" s="22"/>
      <x:c r="O1886" s="17"/>
    </x:row>
    <x:row r="1887">
      <x:c r="A1887" s="17"/>
      <x:c r="B1887" s="20"/>
      <x:c r="C1887" s="21"/>
      <x:c r="D1887" s="17"/>
      <x:c r="E1887" s="17"/>
      <x:c r="F1887" s="17"/>
      <x:c r="G1887" s="17"/>
      <x:c r="H1887" s="17"/>
      <x:c r="I1887" s="17"/>
      <x:c r="J1887" s="17"/>
      <x:c r="K1887" s="17"/>
      <x:c r="L1887" s="17"/>
      <x:c r="M1887" s="17"/>
      <x:c r="N1887" s="22"/>
      <x:c r="O1887" s="17"/>
    </x:row>
    <x:row r="1888">
      <x:c r="A1888" s="17"/>
      <x:c r="B1888" s="20"/>
      <x:c r="C1888" s="21"/>
      <x:c r="D1888" s="17"/>
      <x:c r="E1888" s="17"/>
      <x:c r="F1888" s="17"/>
      <x:c r="G1888" s="17"/>
      <x:c r="H1888" s="17"/>
      <x:c r="I1888" s="17"/>
      <x:c r="J1888" s="17"/>
      <x:c r="K1888" s="17"/>
      <x:c r="L1888" s="17"/>
      <x:c r="M1888" s="17"/>
      <x:c r="N1888" s="22"/>
      <x:c r="O1888" s="17"/>
    </x:row>
    <x:row r="1889">
      <x:c r="A1889" s="17"/>
      <x:c r="B1889" s="20"/>
      <x:c r="C1889" s="21"/>
      <x:c r="D1889" s="17"/>
      <x:c r="E1889" s="17"/>
      <x:c r="F1889" s="17"/>
      <x:c r="G1889" s="17"/>
      <x:c r="H1889" s="17"/>
      <x:c r="I1889" s="17"/>
      <x:c r="J1889" s="17"/>
      <x:c r="K1889" s="17"/>
      <x:c r="L1889" s="17"/>
      <x:c r="M1889" s="17"/>
      <x:c r="N1889" s="22"/>
      <x:c r="O1889" s="17"/>
    </x:row>
    <x:row r="1890">
      <x:c r="A1890" s="17"/>
      <x:c r="B1890" s="20"/>
      <x:c r="C1890" s="21"/>
      <x:c r="D1890" s="17"/>
      <x:c r="E1890" s="17"/>
      <x:c r="F1890" s="17"/>
      <x:c r="G1890" s="17"/>
      <x:c r="H1890" s="17"/>
      <x:c r="I1890" s="17"/>
      <x:c r="J1890" s="17"/>
      <x:c r="K1890" s="17"/>
      <x:c r="L1890" s="17"/>
      <x:c r="M1890" s="17"/>
      <x:c r="N1890" s="22"/>
      <x:c r="O1890" s="17"/>
    </x:row>
    <x:row r="1891">
      <x:c r="A1891" s="17"/>
      <x:c r="B1891" s="20"/>
      <x:c r="C1891" s="21"/>
      <x:c r="D1891" s="17"/>
      <x:c r="E1891" s="17"/>
      <x:c r="F1891" s="17"/>
      <x:c r="G1891" s="17"/>
      <x:c r="H1891" s="17"/>
      <x:c r="I1891" s="17"/>
      <x:c r="J1891" s="17"/>
      <x:c r="K1891" s="17"/>
      <x:c r="L1891" s="17"/>
      <x:c r="M1891" s="17"/>
      <x:c r="N1891" s="22"/>
      <x:c r="O1891" s="17"/>
    </x:row>
    <x:row r="1892">
      <x:c r="A1892" s="17"/>
      <x:c r="B1892" s="20"/>
      <x:c r="C1892" s="21"/>
      <x:c r="D1892" s="17"/>
      <x:c r="E1892" s="17"/>
      <x:c r="F1892" s="17"/>
      <x:c r="G1892" s="17"/>
      <x:c r="H1892" s="17"/>
      <x:c r="I1892" s="17"/>
      <x:c r="J1892" s="17"/>
      <x:c r="K1892" s="17"/>
      <x:c r="L1892" s="17"/>
      <x:c r="M1892" s="17"/>
      <x:c r="N1892" s="22"/>
      <x:c r="O1892" s="17"/>
    </x:row>
    <x:row r="1893">
      <x:c r="A1893" s="17"/>
      <x:c r="B1893" s="20"/>
      <x:c r="C1893" s="21"/>
      <x:c r="D1893" s="17"/>
      <x:c r="E1893" s="17"/>
      <x:c r="F1893" s="17"/>
      <x:c r="G1893" s="17"/>
      <x:c r="H1893" s="17"/>
      <x:c r="I1893" s="17"/>
      <x:c r="J1893" s="17"/>
      <x:c r="K1893" s="17"/>
      <x:c r="L1893" s="17"/>
      <x:c r="M1893" s="17"/>
      <x:c r="N1893" s="22"/>
      <x:c r="O1893" s="17"/>
    </x:row>
    <x:row r="1894">
      <x:c r="A1894" s="17"/>
      <x:c r="B1894" s="20"/>
      <x:c r="C1894" s="21"/>
      <x:c r="D1894" s="17"/>
      <x:c r="E1894" s="17"/>
      <x:c r="F1894" s="17"/>
      <x:c r="G1894" s="17"/>
      <x:c r="H1894" s="17"/>
      <x:c r="I1894" s="17"/>
      <x:c r="J1894" s="17"/>
      <x:c r="K1894" s="17"/>
      <x:c r="L1894" s="17"/>
      <x:c r="M1894" s="17"/>
      <x:c r="N1894" s="22"/>
      <x:c r="O1894" s="17"/>
    </x:row>
    <x:row r="1895">
      <x:c r="A1895" s="17"/>
      <x:c r="B1895" s="20"/>
      <x:c r="C1895" s="21"/>
      <x:c r="D1895" s="17"/>
      <x:c r="E1895" s="17"/>
      <x:c r="F1895" s="17"/>
      <x:c r="G1895" s="17"/>
      <x:c r="H1895" s="17"/>
      <x:c r="I1895" s="17"/>
      <x:c r="J1895" s="17"/>
      <x:c r="K1895" s="17"/>
      <x:c r="L1895" s="17"/>
      <x:c r="M1895" s="17"/>
      <x:c r="N1895" s="22"/>
      <x:c r="O1895" s="17"/>
    </x:row>
    <x:row r="1896">
      <x:c r="A1896" s="17"/>
      <x:c r="B1896" s="20"/>
      <x:c r="C1896" s="21"/>
      <x:c r="D1896" s="17"/>
      <x:c r="E1896" s="17"/>
      <x:c r="F1896" s="17"/>
      <x:c r="G1896" s="17"/>
      <x:c r="H1896" s="17"/>
      <x:c r="I1896" s="17"/>
      <x:c r="J1896" s="17"/>
      <x:c r="K1896" s="17"/>
      <x:c r="L1896" s="17"/>
      <x:c r="M1896" s="17"/>
      <x:c r="N1896" s="22"/>
      <x:c r="O1896" s="17"/>
    </x:row>
    <x:row r="1897">
      <x:c r="A1897" s="17"/>
      <x:c r="B1897" s="20"/>
      <x:c r="C1897" s="21"/>
      <x:c r="D1897" s="17"/>
      <x:c r="E1897" s="17"/>
      <x:c r="F1897" s="17"/>
      <x:c r="G1897" s="17"/>
      <x:c r="H1897" s="17"/>
      <x:c r="I1897" s="17"/>
      <x:c r="J1897" s="17"/>
      <x:c r="K1897" s="17"/>
      <x:c r="L1897" s="17"/>
      <x:c r="M1897" s="17"/>
      <x:c r="N1897" s="22"/>
      <x:c r="O1897" s="17"/>
    </x:row>
    <x:row r="1898">
      <x:c r="A1898" s="17"/>
      <x:c r="B1898" s="20"/>
      <x:c r="C1898" s="21"/>
      <x:c r="D1898" s="17"/>
      <x:c r="E1898" s="17"/>
      <x:c r="F1898" s="17"/>
      <x:c r="G1898" s="17"/>
      <x:c r="H1898" s="17"/>
      <x:c r="I1898" s="17"/>
      <x:c r="J1898" s="17"/>
      <x:c r="K1898" s="17"/>
      <x:c r="L1898" s="17"/>
      <x:c r="M1898" s="17"/>
      <x:c r="N1898" s="22"/>
      <x:c r="O1898" s="17"/>
    </x:row>
    <x:row r="1899">
      <x:c r="A1899" s="17"/>
      <x:c r="B1899" s="20"/>
      <x:c r="C1899" s="21"/>
      <x:c r="D1899" s="17"/>
      <x:c r="E1899" s="17"/>
      <x:c r="F1899" s="17"/>
      <x:c r="G1899" s="17"/>
      <x:c r="H1899" s="17"/>
      <x:c r="I1899" s="17"/>
      <x:c r="J1899" s="17"/>
      <x:c r="K1899" s="17"/>
      <x:c r="L1899" s="17"/>
      <x:c r="M1899" s="17"/>
      <x:c r="N1899" s="22"/>
      <x:c r="O1899" s="17"/>
    </x:row>
    <x:row r="1900">
      <x:c r="A1900" s="17"/>
      <x:c r="B1900" s="20"/>
      <x:c r="C1900" s="21"/>
      <x:c r="D1900" s="17"/>
      <x:c r="E1900" s="17"/>
      <x:c r="F1900" s="17"/>
      <x:c r="G1900" s="17"/>
      <x:c r="H1900" s="17"/>
      <x:c r="I1900" s="17"/>
      <x:c r="J1900" s="17"/>
      <x:c r="K1900" s="17"/>
      <x:c r="L1900" s="17"/>
      <x:c r="M1900" s="17"/>
      <x:c r="N1900" s="22"/>
      <x:c r="O1900" s="17"/>
    </x:row>
    <x:row r="1901">
      <x:c r="A1901" s="17"/>
      <x:c r="B1901" s="20"/>
      <x:c r="C1901" s="21"/>
      <x:c r="D1901" s="17"/>
      <x:c r="E1901" s="17"/>
      <x:c r="F1901" s="17"/>
      <x:c r="G1901" s="17"/>
      <x:c r="H1901" s="17"/>
      <x:c r="I1901" s="17"/>
      <x:c r="J1901" s="17"/>
      <x:c r="K1901" s="17"/>
      <x:c r="L1901" s="17"/>
      <x:c r="M1901" s="17"/>
      <x:c r="N1901" s="22"/>
      <x:c r="O1901" s="17"/>
    </x:row>
    <x:row r="1902">
      <x:c r="A1902" s="17"/>
      <x:c r="B1902" s="20"/>
      <x:c r="C1902" s="21"/>
      <x:c r="D1902" s="17"/>
      <x:c r="E1902" s="17"/>
      <x:c r="F1902" s="17"/>
      <x:c r="G1902" s="17"/>
      <x:c r="H1902" s="17"/>
      <x:c r="I1902" s="17"/>
      <x:c r="J1902" s="17"/>
      <x:c r="K1902" s="17"/>
      <x:c r="L1902" s="17"/>
      <x:c r="M1902" s="17"/>
      <x:c r="N1902" s="22"/>
      <x:c r="O1902" s="17"/>
    </x:row>
    <x:row r="1903">
      <x:c r="A1903" s="17"/>
      <x:c r="B1903" s="20"/>
      <x:c r="C1903" s="21"/>
      <x:c r="D1903" s="17"/>
      <x:c r="E1903" s="17"/>
      <x:c r="F1903" s="17"/>
      <x:c r="G1903" s="17"/>
      <x:c r="H1903" s="17"/>
      <x:c r="I1903" s="17"/>
      <x:c r="J1903" s="17"/>
      <x:c r="K1903" s="17"/>
      <x:c r="L1903" s="17"/>
      <x:c r="M1903" s="17"/>
      <x:c r="N1903" s="22"/>
      <x:c r="O1903" s="17"/>
    </x:row>
    <x:row r="1904">
      <x:c r="A1904" s="17"/>
      <x:c r="B1904" s="20"/>
      <x:c r="C1904" s="21"/>
      <x:c r="D1904" s="17"/>
      <x:c r="E1904" s="17"/>
      <x:c r="F1904" s="17"/>
      <x:c r="G1904" s="17"/>
      <x:c r="H1904" s="17"/>
      <x:c r="I1904" s="17"/>
      <x:c r="J1904" s="17"/>
      <x:c r="K1904" s="17"/>
      <x:c r="L1904" s="17"/>
      <x:c r="M1904" s="17"/>
      <x:c r="N1904" s="22"/>
      <x:c r="O1904" s="17"/>
    </x:row>
    <x:row r="1905">
      <x:c r="A1905" s="17"/>
      <x:c r="B1905" s="20"/>
      <x:c r="C1905" s="21"/>
      <x:c r="D1905" s="17"/>
      <x:c r="E1905" s="17"/>
      <x:c r="F1905" s="17"/>
      <x:c r="G1905" s="17"/>
      <x:c r="H1905" s="17"/>
      <x:c r="I1905" s="17"/>
      <x:c r="J1905" s="17"/>
      <x:c r="K1905" s="17"/>
      <x:c r="L1905" s="17"/>
      <x:c r="M1905" s="17"/>
      <x:c r="N1905" s="22"/>
      <x:c r="O1905" s="17"/>
    </x:row>
    <x:row r="1906">
      <x:c r="A1906" s="17"/>
      <x:c r="B1906" s="20"/>
      <x:c r="C1906" s="21"/>
      <x:c r="D1906" s="17"/>
      <x:c r="E1906" s="17"/>
      <x:c r="F1906" s="17"/>
      <x:c r="G1906" s="17"/>
      <x:c r="H1906" s="17"/>
      <x:c r="I1906" s="17"/>
      <x:c r="J1906" s="17"/>
      <x:c r="K1906" s="17"/>
      <x:c r="L1906" s="17"/>
      <x:c r="M1906" s="17"/>
      <x:c r="N1906" s="22"/>
      <x:c r="O1906" s="17"/>
    </x:row>
    <x:row r="1907">
      <x:c r="A1907" s="17"/>
      <x:c r="B1907" s="20"/>
      <x:c r="C1907" s="21"/>
      <x:c r="D1907" s="17"/>
      <x:c r="E1907" s="17"/>
      <x:c r="F1907" s="17"/>
      <x:c r="G1907" s="17"/>
      <x:c r="H1907" s="17"/>
      <x:c r="I1907" s="17"/>
      <x:c r="J1907" s="17"/>
      <x:c r="K1907" s="17"/>
      <x:c r="L1907" s="17"/>
      <x:c r="M1907" s="17"/>
      <x:c r="N1907" s="22"/>
      <x:c r="O1907" s="17"/>
    </x:row>
    <x:row r="1908">
      <x:c r="A1908" s="17"/>
      <x:c r="B1908" s="20"/>
      <x:c r="C1908" s="21"/>
      <x:c r="D1908" s="17"/>
      <x:c r="E1908" s="17"/>
      <x:c r="F1908" s="17"/>
      <x:c r="G1908" s="17"/>
      <x:c r="H1908" s="17"/>
      <x:c r="I1908" s="17"/>
      <x:c r="J1908" s="17"/>
      <x:c r="K1908" s="17"/>
      <x:c r="L1908" s="17"/>
      <x:c r="M1908" s="17"/>
      <x:c r="N1908" s="22"/>
      <x:c r="O1908" s="17"/>
    </x:row>
    <x:row r="1909">
      <x:c r="A1909" s="17"/>
      <x:c r="B1909" s="20"/>
      <x:c r="C1909" s="21"/>
      <x:c r="D1909" s="17"/>
      <x:c r="E1909" s="17"/>
      <x:c r="F1909" s="17"/>
      <x:c r="G1909" s="17"/>
      <x:c r="H1909" s="17"/>
      <x:c r="I1909" s="17"/>
      <x:c r="J1909" s="17"/>
      <x:c r="K1909" s="17"/>
      <x:c r="L1909" s="17"/>
      <x:c r="M1909" s="17"/>
      <x:c r="N1909" s="22"/>
      <x:c r="O1909" s="17"/>
    </x:row>
    <x:row r="1910">
      <x:c r="A1910" s="17"/>
      <x:c r="B1910" s="20"/>
      <x:c r="C1910" s="21"/>
      <x:c r="D1910" s="17"/>
      <x:c r="E1910" s="17"/>
      <x:c r="F1910" s="17"/>
      <x:c r="G1910" s="17"/>
      <x:c r="H1910" s="17"/>
      <x:c r="I1910" s="17"/>
      <x:c r="J1910" s="17"/>
      <x:c r="K1910" s="17"/>
      <x:c r="L1910" s="17"/>
      <x:c r="M1910" s="17"/>
      <x:c r="N1910" s="22"/>
      <x:c r="O1910" s="17"/>
    </x:row>
    <x:row r="1911">
      <x:c r="A1911" s="17"/>
      <x:c r="B1911" s="20"/>
      <x:c r="C1911" s="21"/>
      <x:c r="D1911" s="17"/>
      <x:c r="E1911" s="17"/>
      <x:c r="F1911" s="17"/>
      <x:c r="G1911" s="17"/>
      <x:c r="H1911" s="17"/>
      <x:c r="I1911" s="17"/>
      <x:c r="J1911" s="17"/>
      <x:c r="K1911" s="17"/>
      <x:c r="L1911" s="17"/>
      <x:c r="M1911" s="17"/>
      <x:c r="N1911" s="22"/>
      <x:c r="O1911" s="17"/>
    </x:row>
    <x:row r="1912">
      <x:c r="A1912" s="17"/>
      <x:c r="B1912" s="20"/>
      <x:c r="C1912" s="21"/>
      <x:c r="D1912" s="17"/>
      <x:c r="E1912" s="17"/>
      <x:c r="F1912" s="17"/>
      <x:c r="G1912" s="17"/>
      <x:c r="H1912" s="17"/>
      <x:c r="I1912" s="17"/>
      <x:c r="J1912" s="17"/>
      <x:c r="K1912" s="17"/>
      <x:c r="L1912" s="17"/>
      <x:c r="M1912" s="17"/>
      <x:c r="N1912" s="22"/>
      <x:c r="O1912" s="17"/>
    </x:row>
    <x:row r="1913">
      <x:c r="A1913" s="17"/>
      <x:c r="B1913" s="20"/>
      <x:c r="C1913" s="21"/>
      <x:c r="D1913" s="17"/>
      <x:c r="E1913" s="17"/>
      <x:c r="F1913" s="17"/>
      <x:c r="G1913" s="17"/>
      <x:c r="H1913" s="17"/>
      <x:c r="I1913" s="17"/>
      <x:c r="J1913" s="17"/>
      <x:c r="K1913" s="17"/>
      <x:c r="L1913" s="17"/>
      <x:c r="M1913" s="17"/>
      <x:c r="N1913" s="22"/>
      <x:c r="O1913" s="17"/>
    </x:row>
    <x:row r="1914">
      <x:c r="A1914" s="17"/>
      <x:c r="B1914" s="20"/>
      <x:c r="C1914" s="21"/>
      <x:c r="D1914" s="17"/>
      <x:c r="E1914" s="17"/>
      <x:c r="F1914" s="17"/>
      <x:c r="G1914" s="17"/>
      <x:c r="H1914" s="17"/>
      <x:c r="I1914" s="17"/>
      <x:c r="J1914" s="17"/>
      <x:c r="K1914" s="17"/>
      <x:c r="L1914" s="17"/>
      <x:c r="M1914" s="17"/>
      <x:c r="N1914" s="22"/>
      <x:c r="O1914" s="17"/>
    </x:row>
    <x:row r="1915">
      <x:c r="A1915" s="17"/>
      <x:c r="B1915" s="20"/>
      <x:c r="C1915" s="21"/>
      <x:c r="D1915" s="17"/>
      <x:c r="E1915" s="17"/>
      <x:c r="F1915" s="17"/>
      <x:c r="G1915" s="17"/>
      <x:c r="H1915" s="17"/>
      <x:c r="I1915" s="17"/>
      <x:c r="J1915" s="17"/>
      <x:c r="K1915" s="17"/>
      <x:c r="L1915" s="17"/>
      <x:c r="M1915" s="17"/>
      <x:c r="N1915" s="22"/>
      <x:c r="O1915" s="17"/>
    </x:row>
    <x:row r="1916">
      <x:c r="A1916" s="17"/>
      <x:c r="B1916" s="20"/>
      <x:c r="C1916" s="21"/>
      <x:c r="D1916" s="17"/>
      <x:c r="E1916" s="17"/>
      <x:c r="F1916" s="17"/>
      <x:c r="G1916" s="17"/>
      <x:c r="H1916" s="17"/>
      <x:c r="I1916" s="17"/>
      <x:c r="J1916" s="17"/>
      <x:c r="K1916" s="17"/>
      <x:c r="L1916" s="17"/>
      <x:c r="M1916" s="17"/>
      <x:c r="N1916" s="22"/>
      <x:c r="O1916" s="17"/>
    </x:row>
    <x:row r="1917">
      <x:c r="A1917" s="17"/>
      <x:c r="B1917" s="20"/>
      <x:c r="C1917" s="21"/>
      <x:c r="D1917" s="17"/>
      <x:c r="E1917" s="17"/>
      <x:c r="F1917" s="17"/>
      <x:c r="G1917" s="17"/>
      <x:c r="H1917" s="17"/>
      <x:c r="I1917" s="17"/>
      <x:c r="J1917" s="17"/>
      <x:c r="K1917" s="17"/>
      <x:c r="L1917" s="17"/>
      <x:c r="M1917" s="17"/>
      <x:c r="N1917" s="22"/>
      <x:c r="O1917" s="17"/>
    </x:row>
    <x:row r="1918">
      <x:c r="A1918" s="17"/>
      <x:c r="B1918" s="20"/>
      <x:c r="C1918" s="21"/>
      <x:c r="D1918" s="17"/>
      <x:c r="E1918" s="17"/>
      <x:c r="F1918" s="17"/>
      <x:c r="G1918" s="17"/>
      <x:c r="H1918" s="17"/>
      <x:c r="I1918" s="17"/>
      <x:c r="J1918" s="17"/>
      <x:c r="K1918" s="17"/>
      <x:c r="L1918" s="17"/>
      <x:c r="M1918" s="17"/>
      <x:c r="N1918" s="22"/>
      <x:c r="O1918" s="17"/>
    </x:row>
    <x:row r="1919">
      <x:c r="A1919" s="17"/>
      <x:c r="B1919" s="20"/>
      <x:c r="C1919" s="21"/>
      <x:c r="D1919" s="17"/>
      <x:c r="E1919" s="17"/>
      <x:c r="F1919" s="17"/>
      <x:c r="G1919" s="17"/>
      <x:c r="H1919" s="17"/>
      <x:c r="I1919" s="17"/>
      <x:c r="J1919" s="17"/>
      <x:c r="K1919" s="17"/>
      <x:c r="L1919" s="17"/>
      <x:c r="M1919" s="17"/>
      <x:c r="N1919" s="22"/>
      <x:c r="O1919" s="17"/>
    </x:row>
    <x:row r="1920">
      <x:c r="A1920" s="17"/>
      <x:c r="B1920" s="20"/>
      <x:c r="C1920" s="21"/>
      <x:c r="D1920" s="17"/>
      <x:c r="E1920" s="17"/>
      <x:c r="F1920" s="17"/>
      <x:c r="G1920" s="17"/>
      <x:c r="H1920" s="17"/>
      <x:c r="I1920" s="17"/>
      <x:c r="J1920" s="17"/>
      <x:c r="K1920" s="17"/>
      <x:c r="L1920" s="17"/>
      <x:c r="M1920" s="17"/>
      <x:c r="N1920" s="22"/>
      <x:c r="O1920" s="17"/>
    </x:row>
    <x:row r="1921">
      <x:c r="A1921" s="17"/>
      <x:c r="B1921" s="20"/>
      <x:c r="C1921" s="21"/>
      <x:c r="D1921" s="17"/>
      <x:c r="E1921" s="17"/>
      <x:c r="F1921" s="17"/>
      <x:c r="G1921" s="17"/>
      <x:c r="H1921" s="17"/>
      <x:c r="I1921" s="17"/>
      <x:c r="J1921" s="17"/>
      <x:c r="K1921" s="17"/>
      <x:c r="L1921" s="17"/>
      <x:c r="M1921" s="17"/>
      <x:c r="N1921" s="22"/>
      <x:c r="O1921" s="17"/>
    </x:row>
    <x:row r="1922">
      <x:c r="A1922" s="17"/>
      <x:c r="B1922" s="20"/>
      <x:c r="C1922" s="21"/>
      <x:c r="D1922" s="17"/>
      <x:c r="E1922" s="17"/>
      <x:c r="F1922" s="17"/>
      <x:c r="G1922" s="17"/>
      <x:c r="H1922" s="17"/>
      <x:c r="I1922" s="17"/>
      <x:c r="J1922" s="17"/>
      <x:c r="K1922" s="17"/>
      <x:c r="L1922" s="17"/>
      <x:c r="M1922" s="17"/>
      <x:c r="N1922" s="22"/>
      <x:c r="O1922" s="17"/>
    </x:row>
    <x:row r="1923">
      <x:c r="A1923" s="17"/>
      <x:c r="B1923" s="20"/>
      <x:c r="C1923" s="21"/>
      <x:c r="D1923" s="17"/>
      <x:c r="E1923" s="17"/>
      <x:c r="F1923" s="17"/>
      <x:c r="G1923" s="17"/>
      <x:c r="H1923" s="17"/>
      <x:c r="I1923" s="17"/>
      <x:c r="J1923" s="17"/>
      <x:c r="K1923" s="17"/>
      <x:c r="L1923" s="17"/>
      <x:c r="M1923" s="17"/>
      <x:c r="N1923" s="22"/>
      <x:c r="O1923" s="17"/>
    </x:row>
    <x:row r="1924">
      <x:c r="A1924" s="17"/>
      <x:c r="B1924" s="20"/>
      <x:c r="C1924" s="21"/>
      <x:c r="D1924" s="17"/>
      <x:c r="E1924" s="17"/>
      <x:c r="F1924" s="17"/>
      <x:c r="G1924" s="17"/>
      <x:c r="H1924" s="17"/>
      <x:c r="I1924" s="17"/>
      <x:c r="J1924" s="17"/>
      <x:c r="K1924" s="17"/>
      <x:c r="L1924" s="17"/>
      <x:c r="M1924" s="17"/>
      <x:c r="N1924" s="22"/>
      <x:c r="O1924" s="17"/>
    </x:row>
    <x:row r="1925">
      <x:c r="A1925" s="17"/>
      <x:c r="B1925" s="20"/>
      <x:c r="C1925" s="21"/>
      <x:c r="D1925" s="17"/>
      <x:c r="E1925" s="17"/>
      <x:c r="F1925" s="17"/>
      <x:c r="G1925" s="17"/>
      <x:c r="H1925" s="17"/>
      <x:c r="I1925" s="17"/>
      <x:c r="J1925" s="17"/>
      <x:c r="K1925" s="17"/>
      <x:c r="L1925" s="17"/>
      <x:c r="M1925" s="17"/>
      <x:c r="N1925" s="22"/>
      <x:c r="O1925" s="17"/>
    </x:row>
    <x:row r="1926">
      <x:c r="A1926" s="17"/>
      <x:c r="B1926" s="20"/>
      <x:c r="C1926" s="21"/>
      <x:c r="D1926" s="17"/>
      <x:c r="E1926" s="17"/>
      <x:c r="F1926" s="17"/>
      <x:c r="G1926" s="17"/>
      <x:c r="H1926" s="17"/>
      <x:c r="I1926" s="17"/>
      <x:c r="J1926" s="17"/>
      <x:c r="K1926" s="17"/>
      <x:c r="L1926" s="17"/>
      <x:c r="M1926" s="17"/>
      <x:c r="N1926" s="22"/>
      <x:c r="O1926" s="17"/>
    </x:row>
    <x:row r="1927">
      <x:c r="A1927" s="17"/>
      <x:c r="B1927" s="20"/>
      <x:c r="C1927" s="21"/>
      <x:c r="D1927" s="17"/>
      <x:c r="E1927" s="17"/>
      <x:c r="F1927" s="17"/>
      <x:c r="G1927" s="17"/>
      <x:c r="H1927" s="17"/>
      <x:c r="I1927" s="17"/>
      <x:c r="J1927" s="17"/>
      <x:c r="K1927" s="17"/>
      <x:c r="L1927" s="17"/>
      <x:c r="M1927" s="17"/>
      <x:c r="N1927" s="22"/>
      <x:c r="O1927" s="17"/>
    </x:row>
    <x:row r="1928">
      <x:c r="A1928" s="17"/>
      <x:c r="B1928" s="20"/>
      <x:c r="C1928" s="21"/>
      <x:c r="D1928" s="17"/>
      <x:c r="E1928" s="17"/>
      <x:c r="F1928" s="17"/>
      <x:c r="G1928" s="17"/>
      <x:c r="H1928" s="17"/>
      <x:c r="I1928" s="17"/>
      <x:c r="J1928" s="17"/>
      <x:c r="K1928" s="17"/>
      <x:c r="L1928" s="17"/>
      <x:c r="M1928" s="17"/>
      <x:c r="N1928" s="22"/>
      <x:c r="O1928" s="17"/>
    </x:row>
    <x:row r="1929">
      <x:c r="A1929" s="17"/>
      <x:c r="B1929" s="20"/>
      <x:c r="C1929" s="21"/>
      <x:c r="D1929" s="17"/>
      <x:c r="E1929" s="17"/>
      <x:c r="F1929" s="17"/>
      <x:c r="G1929" s="17"/>
      <x:c r="H1929" s="17"/>
      <x:c r="I1929" s="17"/>
      <x:c r="J1929" s="17"/>
      <x:c r="K1929" s="17"/>
      <x:c r="L1929" s="17"/>
      <x:c r="M1929" s="17"/>
      <x:c r="N1929" s="22"/>
      <x:c r="O1929" s="17"/>
    </x:row>
    <x:row r="1930">
      <x:c r="A1930" s="17"/>
      <x:c r="B1930" s="20"/>
      <x:c r="C1930" s="21"/>
      <x:c r="D1930" s="17"/>
      <x:c r="E1930" s="17"/>
      <x:c r="F1930" s="17"/>
      <x:c r="G1930" s="17"/>
      <x:c r="H1930" s="17"/>
      <x:c r="I1930" s="17"/>
      <x:c r="J1930" s="17"/>
      <x:c r="K1930" s="17"/>
      <x:c r="L1930" s="17"/>
      <x:c r="M1930" s="17"/>
      <x:c r="N1930" s="22"/>
      <x:c r="O1930" s="17"/>
    </x:row>
    <x:row r="1931">
      <x:c r="A1931" s="17"/>
      <x:c r="B1931" s="20"/>
      <x:c r="C1931" s="21"/>
      <x:c r="D1931" s="17"/>
      <x:c r="E1931" s="17"/>
      <x:c r="F1931" s="17"/>
      <x:c r="G1931" s="17"/>
      <x:c r="H1931" s="17"/>
      <x:c r="I1931" s="17"/>
      <x:c r="J1931" s="17"/>
      <x:c r="K1931" s="17"/>
      <x:c r="L1931" s="17"/>
      <x:c r="M1931" s="17"/>
      <x:c r="N1931" s="22"/>
      <x:c r="O1931" s="17"/>
    </x:row>
    <x:row r="1932">
      <x:c r="A1932" s="17"/>
      <x:c r="B1932" s="20"/>
      <x:c r="C1932" s="21"/>
      <x:c r="D1932" s="17"/>
      <x:c r="E1932" s="17"/>
      <x:c r="F1932" s="17"/>
      <x:c r="G1932" s="17"/>
      <x:c r="H1932" s="17"/>
      <x:c r="I1932" s="17"/>
      <x:c r="J1932" s="17"/>
      <x:c r="K1932" s="17"/>
      <x:c r="L1932" s="17"/>
      <x:c r="M1932" s="17"/>
      <x:c r="N1932" s="22"/>
      <x:c r="O1932" s="17"/>
    </x:row>
    <x:row r="1933">
      <x:c r="A1933" s="17"/>
      <x:c r="B1933" s="20"/>
      <x:c r="C1933" s="21"/>
      <x:c r="D1933" s="17"/>
      <x:c r="E1933" s="17"/>
      <x:c r="F1933" s="17"/>
      <x:c r="G1933" s="17"/>
      <x:c r="H1933" s="17"/>
      <x:c r="I1933" s="17"/>
      <x:c r="J1933" s="17"/>
      <x:c r="K1933" s="17"/>
      <x:c r="L1933" s="17"/>
      <x:c r="M1933" s="17"/>
      <x:c r="N1933" s="22"/>
      <x:c r="O1933" s="17"/>
    </x:row>
    <x:row r="1934">
      <x:c r="A1934" s="17"/>
      <x:c r="B1934" s="20"/>
      <x:c r="C1934" s="21"/>
      <x:c r="D1934" s="17"/>
      <x:c r="E1934" s="17"/>
      <x:c r="F1934" s="17"/>
      <x:c r="G1934" s="17"/>
      <x:c r="H1934" s="17"/>
      <x:c r="I1934" s="17"/>
      <x:c r="J1934" s="17"/>
      <x:c r="K1934" s="17"/>
      <x:c r="L1934" s="17"/>
      <x:c r="M1934" s="17"/>
      <x:c r="N1934" s="22"/>
      <x:c r="O1934" s="17"/>
    </x:row>
    <x:row r="1935">
      <x:c r="A1935" s="17"/>
      <x:c r="B1935" s="20"/>
      <x:c r="C1935" s="21"/>
      <x:c r="D1935" s="17"/>
      <x:c r="E1935" s="17"/>
      <x:c r="F1935" s="17"/>
      <x:c r="G1935" s="17"/>
      <x:c r="H1935" s="17"/>
      <x:c r="I1935" s="17"/>
      <x:c r="J1935" s="17"/>
      <x:c r="K1935" s="17"/>
      <x:c r="L1935" s="17"/>
      <x:c r="M1935" s="17"/>
      <x:c r="N1935" s="22"/>
      <x:c r="O1935" s="17"/>
    </x:row>
    <x:row r="1936">
      <x:c r="A1936" s="17"/>
      <x:c r="B1936" s="20"/>
      <x:c r="C1936" s="21"/>
      <x:c r="D1936" s="17"/>
      <x:c r="E1936" s="17"/>
      <x:c r="F1936" s="17"/>
      <x:c r="G1936" s="17"/>
      <x:c r="H1936" s="17"/>
      <x:c r="I1936" s="17"/>
      <x:c r="J1936" s="17"/>
      <x:c r="K1936" s="17"/>
      <x:c r="L1936" s="17"/>
      <x:c r="M1936" s="17"/>
      <x:c r="N1936" s="22"/>
      <x:c r="O1936" s="17"/>
    </x:row>
    <x:row r="1937">
      <x:c r="A1937" s="17"/>
      <x:c r="B1937" s="20"/>
      <x:c r="C1937" s="21"/>
      <x:c r="D1937" s="17"/>
      <x:c r="E1937" s="17"/>
      <x:c r="F1937" s="17"/>
      <x:c r="G1937" s="17"/>
      <x:c r="H1937" s="17"/>
      <x:c r="I1937" s="17"/>
      <x:c r="J1937" s="17"/>
      <x:c r="K1937" s="17"/>
      <x:c r="L1937" s="17"/>
      <x:c r="M1937" s="17"/>
      <x:c r="N1937" s="22"/>
      <x:c r="O1937" s="17"/>
    </x:row>
    <x:row r="1938">
      <x:c r="A1938" s="17"/>
      <x:c r="B1938" s="20"/>
      <x:c r="C1938" s="21"/>
      <x:c r="D1938" s="17"/>
      <x:c r="E1938" s="17"/>
      <x:c r="F1938" s="17"/>
      <x:c r="G1938" s="17"/>
      <x:c r="H1938" s="17"/>
      <x:c r="I1938" s="17"/>
      <x:c r="J1938" s="17"/>
      <x:c r="K1938" s="17"/>
      <x:c r="L1938" s="17"/>
      <x:c r="M1938" s="17"/>
      <x:c r="N1938" s="22"/>
      <x:c r="O1938" s="17"/>
    </x:row>
    <x:row r="1939">
      <x:c r="A1939" s="17"/>
      <x:c r="B1939" s="20"/>
      <x:c r="C1939" s="21"/>
      <x:c r="D1939" s="17"/>
      <x:c r="E1939" s="17"/>
      <x:c r="F1939" s="17"/>
      <x:c r="G1939" s="17"/>
      <x:c r="H1939" s="17"/>
      <x:c r="I1939" s="17"/>
      <x:c r="J1939" s="17"/>
      <x:c r="K1939" s="17"/>
      <x:c r="L1939" s="17"/>
      <x:c r="M1939" s="17"/>
      <x:c r="N1939" s="22"/>
      <x:c r="O1939" s="17"/>
    </x:row>
    <x:row r="1940">
      <x:c r="A1940" s="17"/>
      <x:c r="B1940" s="20"/>
      <x:c r="C1940" s="21"/>
      <x:c r="D1940" s="17"/>
      <x:c r="E1940" s="17"/>
      <x:c r="F1940" s="17"/>
      <x:c r="G1940" s="17"/>
      <x:c r="H1940" s="17"/>
      <x:c r="I1940" s="17"/>
      <x:c r="J1940" s="17"/>
      <x:c r="K1940" s="17"/>
      <x:c r="L1940" s="17"/>
      <x:c r="M1940" s="17"/>
      <x:c r="N1940" s="22"/>
      <x:c r="O1940" s="17"/>
    </x:row>
    <x:row r="1941">
      <x:c r="A1941" s="17"/>
      <x:c r="B1941" s="20"/>
      <x:c r="C1941" s="21"/>
      <x:c r="D1941" s="17"/>
      <x:c r="E1941" s="17"/>
      <x:c r="F1941" s="17"/>
      <x:c r="G1941" s="17"/>
      <x:c r="H1941" s="17"/>
      <x:c r="I1941" s="17"/>
      <x:c r="J1941" s="17"/>
      <x:c r="K1941" s="17"/>
      <x:c r="L1941" s="17"/>
      <x:c r="M1941" s="17"/>
      <x:c r="N1941" s="22"/>
      <x:c r="O1941" s="17"/>
    </x:row>
    <x:row r="1942">
      <x:c r="A1942" s="17"/>
      <x:c r="B1942" s="20"/>
      <x:c r="C1942" s="21"/>
      <x:c r="D1942" s="17"/>
      <x:c r="E1942" s="17"/>
      <x:c r="F1942" s="17"/>
      <x:c r="G1942" s="17"/>
      <x:c r="H1942" s="17"/>
      <x:c r="I1942" s="17"/>
      <x:c r="J1942" s="17"/>
      <x:c r="K1942" s="17"/>
      <x:c r="L1942" s="17"/>
      <x:c r="M1942" s="17"/>
      <x:c r="N1942" s="22"/>
      <x:c r="O1942" s="17"/>
    </x:row>
    <x:row r="1943">
      <x:c r="A1943" s="17"/>
      <x:c r="B1943" s="20"/>
      <x:c r="C1943" s="21"/>
      <x:c r="D1943" s="17"/>
      <x:c r="E1943" s="17"/>
      <x:c r="F1943" s="17"/>
      <x:c r="G1943" s="17"/>
      <x:c r="H1943" s="17"/>
      <x:c r="I1943" s="17"/>
      <x:c r="J1943" s="17"/>
      <x:c r="K1943" s="17"/>
      <x:c r="L1943" s="17"/>
      <x:c r="M1943" s="17"/>
      <x:c r="N1943" s="22"/>
      <x:c r="O1943" s="17"/>
    </x:row>
    <x:row r="1944">
      <x:c r="A1944" s="17"/>
      <x:c r="B1944" s="20"/>
      <x:c r="C1944" s="21"/>
      <x:c r="D1944" s="17"/>
      <x:c r="E1944" s="17"/>
      <x:c r="F1944" s="17"/>
      <x:c r="G1944" s="17"/>
      <x:c r="H1944" s="17"/>
      <x:c r="I1944" s="17"/>
      <x:c r="J1944" s="17"/>
      <x:c r="K1944" s="17"/>
      <x:c r="L1944" s="17"/>
      <x:c r="M1944" s="17"/>
      <x:c r="N1944" s="22"/>
      <x:c r="O1944" s="17"/>
    </x:row>
    <x:row r="1945">
      <x:c r="A1945" s="17"/>
      <x:c r="B1945" s="20"/>
      <x:c r="C1945" s="21"/>
      <x:c r="D1945" s="17"/>
      <x:c r="E1945" s="17"/>
      <x:c r="F1945" s="17"/>
      <x:c r="G1945" s="17"/>
      <x:c r="H1945" s="17"/>
      <x:c r="I1945" s="17"/>
      <x:c r="J1945" s="17"/>
      <x:c r="K1945" s="17"/>
      <x:c r="L1945" s="17"/>
      <x:c r="M1945" s="17"/>
      <x:c r="N1945" s="22"/>
      <x:c r="O1945" s="17"/>
    </x:row>
    <x:row r="1946">
      <x:c r="A1946" s="17"/>
      <x:c r="B1946" s="20"/>
      <x:c r="C1946" s="21"/>
      <x:c r="D1946" s="17"/>
      <x:c r="E1946" s="17"/>
      <x:c r="F1946" s="17"/>
      <x:c r="G1946" s="17"/>
      <x:c r="H1946" s="17"/>
      <x:c r="I1946" s="17"/>
      <x:c r="J1946" s="17"/>
      <x:c r="K1946" s="17"/>
      <x:c r="L1946" s="17"/>
      <x:c r="M1946" s="17"/>
      <x:c r="N1946" s="22"/>
      <x:c r="O1946" s="17"/>
    </x:row>
    <x:row r="1947">
      <x:c r="A1947" s="17"/>
      <x:c r="B1947" s="20"/>
      <x:c r="C1947" s="21"/>
      <x:c r="D1947" s="17"/>
      <x:c r="E1947" s="17"/>
      <x:c r="F1947" s="17"/>
      <x:c r="G1947" s="17"/>
      <x:c r="H1947" s="17"/>
      <x:c r="I1947" s="17"/>
      <x:c r="J1947" s="17"/>
      <x:c r="K1947" s="17"/>
      <x:c r="L1947" s="17"/>
      <x:c r="M1947" s="17"/>
      <x:c r="N1947" s="22"/>
      <x:c r="O1947" s="17"/>
    </x:row>
    <x:row r="1948">
      <x:c r="A1948" s="17"/>
      <x:c r="B1948" s="20"/>
      <x:c r="C1948" s="21"/>
      <x:c r="D1948" s="17"/>
      <x:c r="E1948" s="17"/>
      <x:c r="F1948" s="17"/>
      <x:c r="G1948" s="17"/>
      <x:c r="H1948" s="17"/>
      <x:c r="I1948" s="17"/>
      <x:c r="J1948" s="17"/>
      <x:c r="K1948" s="17"/>
      <x:c r="L1948" s="17"/>
      <x:c r="M1948" s="17"/>
      <x:c r="N1948" s="22"/>
      <x:c r="O1948" s="17"/>
    </x:row>
    <x:row r="1949">
      <x:c r="A1949" s="17"/>
      <x:c r="B1949" s="20"/>
      <x:c r="C1949" s="21"/>
      <x:c r="D1949" s="17"/>
      <x:c r="E1949" s="17"/>
      <x:c r="F1949" s="17"/>
      <x:c r="G1949" s="17"/>
      <x:c r="H1949" s="17"/>
      <x:c r="I1949" s="17"/>
      <x:c r="J1949" s="17"/>
      <x:c r="K1949" s="17"/>
      <x:c r="L1949" s="17"/>
      <x:c r="M1949" s="17"/>
      <x:c r="N1949" s="22"/>
      <x:c r="O1949" s="17"/>
    </x:row>
    <x:row r="1950">
      <x:c r="A1950" s="17"/>
      <x:c r="B1950" s="20"/>
      <x:c r="C1950" s="21"/>
      <x:c r="D1950" s="17"/>
      <x:c r="E1950" s="17"/>
      <x:c r="F1950" s="17"/>
      <x:c r="G1950" s="17"/>
      <x:c r="H1950" s="17"/>
      <x:c r="I1950" s="17"/>
      <x:c r="J1950" s="17"/>
      <x:c r="K1950" s="17"/>
      <x:c r="L1950" s="17"/>
      <x:c r="M1950" s="17"/>
      <x:c r="N1950" s="22"/>
      <x:c r="O1950" s="17"/>
    </x:row>
    <x:row r="1951">
      <x:c r="A1951" s="17"/>
      <x:c r="B1951" s="20"/>
      <x:c r="C1951" s="21"/>
      <x:c r="D1951" s="17"/>
      <x:c r="E1951" s="17"/>
      <x:c r="F1951" s="17"/>
      <x:c r="G1951" s="17"/>
      <x:c r="H1951" s="17"/>
      <x:c r="I1951" s="17"/>
      <x:c r="J1951" s="17"/>
      <x:c r="K1951" s="17"/>
      <x:c r="L1951" s="17"/>
      <x:c r="M1951" s="17"/>
      <x:c r="N1951" s="22"/>
      <x:c r="O1951" s="17"/>
    </x:row>
    <x:row r="1952">
      <x:c r="A1952" s="17"/>
      <x:c r="B1952" s="20"/>
      <x:c r="C1952" s="21"/>
      <x:c r="D1952" s="17"/>
      <x:c r="E1952" s="17"/>
      <x:c r="F1952" s="17"/>
      <x:c r="G1952" s="17"/>
      <x:c r="H1952" s="17"/>
      <x:c r="I1952" s="17"/>
      <x:c r="J1952" s="17"/>
      <x:c r="K1952" s="17"/>
      <x:c r="L1952" s="17"/>
      <x:c r="M1952" s="17"/>
      <x:c r="N1952" s="22"/>
      <x:c r="O1952" s="17"/>
    </x:row>
    <x:row r="1953">
      <x:c r="A1953" s="17"/>
      <x:c r="B1953" s="20"/>
      <x:c r="C1953" s="21"/>
      <x:c r="D1953" s="17"/>
      <x:c r="E1953" s="17"/>
      <x:c r="F1953" s="17"/>
      <x:c r="G1953" s="17"/>
      <x:c r="H1953" s="17"/>
      <x:c r="I1953" s="17"/>
      <x:c r="J1953" s="17"/>
      <x:c r="K1953" s="17"/>
      <x:c r="L1953" s="17"/>
      <x:c r="M1953" s="17"/>
      <x:c r="N1953" s="22"/>
      <x:c r="O1953" s="17"/>
    </x:row>
    <x:row r="1954">
      <x:c r="A1954" s="17"/>
      <x:c r="B1954" s="20"/>
      <x:c r="C1954" s="21"/>
      <x:c r="D1954" s="17"/>
      <x:c r="E1954" s="17"/>
      <x:c r="F1954" s="17"/>
      <x:c r="G1954" s="17"/>
      <x:c r="H1954" s="17"/>
      <x:c r="I1954" s="17"/>
      <x:c r="J1954" s="17"/>
      <x:c r="K1954" s="17"/>
      <x:c r="L1954" s="17"/>
      <x:c r="M1954" s="17"/>
      <x:c r="N1954" s="22"/>
      <x:c r="O1954" s="17"/>
    </x:row>
    <x:row r="1955">
      <x:c r="A1955" s="17"/>
      <x:c r="B1955" s="20"/>
      <x:c r="C1955" s="21"/>
      <x:c r="D1955" s="17"/>
      <x:c r="E1955" s="17"/>
      <x:c r="F1955" s="17"/>
      <x:c r="G1955" s="17"/>
      <x:c r="H1955" s="17"/>
      <x:c r="I1955" s="17"/>
      <x:c r="J1955" s="17"/>
      <x:c r="K1955" s="17"/>
      <x:c r="L1955" s="17"/>
      <x:c r="M1955" s="17"/>
      <x:c r="N1955" s="22"/>
      <x:c r="O1955" s="17"/>
    </x:row>
    <x:row r="1956">
      <x:c r="A1956" s="17"/>
      <x:c r="B1956" s="20"/>
      <x:c r="C1956" s="21"/>
      <x:c r="D1956" s="17"/>
      <x:c r="E1956" s="17"/>
      <x:c r="F1956" s="17"/>
      <x:c r="G1956" s="17"/>
      <x:c r="H1956" s="17"/>
      <x:c r="I1956" s="17"/>
      <x:c r="J1956" s="17"/>
      <x:c r="K1956" s="17"/>
      <x:c r="L1956" s="17"/>
      <x:c r="M1956" s="17"/>
      <x:c r="N1956" s="22"/>
      <x:c r="O1956" s="17"/>
    </x:row>
    <x:row r="1957">
      <x:c r="A1957" s="17"/>
      <x:c r="B1957" s="20"/>
      <x:c r="C1957" s="21"/>
      <x:c r="D1957" s="17"/>
      <x:c r="E1957" s="17"/>
      <x:c r="F1957" s="17"/>
      <x:c r="G1957" s="17"/>
      <x:c r="H1957" s="17"/>
      <x:c r="I1957" s="17"/>
      <x:c r="J1957" s="17"/>
      <x:c r="K1957" s="17"/>
      <x:c r="L1957" s="17"/>
      <x:c r="M1957" s="17"/>
      <x:c r="N1957" s="22"/>
      <x:c r="O1957" s="17"/>
    </x:row>
    <x:row r="1958">
      <x:c r="A1958" s="17"/>
      <x:c r="B1958" s="20"/>
      <x:c r="C1958" s="21"/>
      <x:c r="D1958" s="17"/>
      <x:c r="E1958" s="17"/>
      <x:c r="F1958" s="17"/>
      <x:c r="G1958" s="17"/>
      <x:c r="H1958" s="17"/>
      <x:c r="I1958" s="17"/>
      <x:c r="J1958" s="17"/>
      <x:c r="K1958" s="17"/>
      <x:c r="L1958" s="17"/>
      <x:c r="M1958" s="17"/>
      <x:c r="N1958" s="22"/>
      <x:c r="O1958" s="17"/>
    </x:row>
    <x:row r="1959">
      <x:c r="A1959" s="17"/>
      <x:c r="B1959" s="20"/>
      <x:c r="C1959" s="21"/>
      <x:c r="D1959" s="17"/>
      <x:c r="E1959" s="17"/>
      <x:c r="F1959" s="17"/>
      <x:c r="G1959" s="17"/>
      <x:c r="H1959" s="17"/>
      <x:c r="I1959" s="17"/>
      <x:c r="J1959" s="17"/>
      <x:c r="K1959" s="17"/>
      <x:c r="L1959" s="17"/>
      <x:c r="M1959" s="17"/>
      <x:c r="N1959" s="22"/>
      <x:c r="O1959" s="17"/>
    </x:row>
    <x:row r="1960">
      <x:c r="A1960" s="17"/>
      <x:c r="B1960" s="20"/>
      <x:c r="C1960" s="21"/>
      <x:c r="D1960" s="17"/>
      <x:c r="E1960" s="17"/>
      <x:c r="F1960" s="17"/>
      <x:c r="G1960" s="17"/>
      <x:c r="H1960" s="17"/>
      <x:c r="I1960" s="17"/>
      <x:c r="J1960" s="17"/>
      <x:c r="K1960" s="17"/>
      <x:c r="L1960" s="17"/>
      <x:c r="M1960" s="17"/>
      <x:c r="N1960" s="22"/>
      <x:c r="O1960" s="17"/>
    </x:row>
    <x:row r="1961">
      <x:c r="A1961" s="17"/>
      <x:c r="B1961" s="20"/>
      <x:c r="C1961" s="21"/>
      <x:c r="D1961" s="17"/>
      <x:c r="E1961" s="17"/>
      <x:c r="F1961" s="17"/>
      <x:c r="G1961" s="17"/>
      <x:c r="H1961" s="17"/>
      <x:c r="I1961" s="17"/>
      <x:c r="J1961" s="17"/>
      <x:c r="K1961" s="17"/>
      <x:c r="L1961" s="17"/>
      <x:c r="M1961" s="17"/>
      <x:c r="N1961" s="22"/>
      <x:c r="O1961" s="17"/>
    </x:row>
    <x:row r="1962">
      <x:c r="A1962" s="17"/>
      <x:c r="B1962" s="20"/>
      <x:c r="C1962" s="21"/>
      <x:c r="D1962" s="17"/>
      <x:c r="E1962" s="17"/>
      <x:c r="F1962" s="17"/>
      <x:c r="G1962" s="17"/>
      <x:c r="H1962" s="17"/>
      <x:c r="I1962" s="17"/>
      <x:c r="J1962" s="17"/>
      <x:c r="K1962" s="17"/>
      <x:c r="L1962" s="17"/>
      <x:c r="M1962" s="17"/>
      <x:c r="N1962" s="22"/>
      <x:c r="O1962" s="17"/>
    </x:row>
    <x:row r="1963">
      <x:c r="A1963" s="17"/>
      <x:c r="B1963" s="20"/>
      <x:c r="C1963" s="21"/>
      <x:c r="D1963" s="17"/>
      <x:c r="E1963" s="17"/>
      <x:c r="F1963" s="17"/>
      <x:c r="G1963" s="17"/>
      <x:c r="H1963" s="17"/>
      <x:c r="I1963" s="17"/>
      <x:c r="J1963" s="17"/>
      <x:c r="K1963" s="17"/>
      <x:c r="L1963" s="17"/>
      <x:c r="M1963" s="17"/>
      <x:c r="N1963" s="22"/>
      <x:c r="O1963" s="17"/>
    </x:row>
    <x:row r="1964">
      <x:c r="A1964" s="17"/>
      <x:c r="B1964" s="20"/>
      <x:c r="C1964" s="21"/>
      <x:c r="D1964" s="17"/>
      <x:c r="E1964" s="17"/>
      <x:c r="F1964" s="17"/>
      <x:c r="G1964" s="17"/>
      <x:c r="H1964" s="17"/>
      <x:c r="I1964" s="17"/>
      <x:c r="J1964" s="17"/>
      <x:c r="K1964" s="17"/>
      <x:c r="L1964" s="17"/>
      <x:c r="M1964" s="17"/>
      <x:c r="N1964" s="22"/>
      <x:c r="O1964" s="17"/>
    </x:row>
    <x:row r="1965">
      <x:c r="A1965" s="17"/>
      <x:c r="B1965" s="20"/>
      <x:c r="C1965" s="21"/>
      <x:c r="D1965" s="17"/>
      <x:c r="E1965" s="17"/>
      <x:c r="F1965" s="17"/>
      <x:c r="G1965" s="17"/>
      <x:c r="H1965" s="17"/>
      <x:c r="I1965" s="17"/>
      <x:c r="J1965" s="17"/>
      <x:c r="K1965" s="17"/>
      <x:c r="L1965" s="17"/>
      <x:c r="M1965" s="17"/>
      <x:c r="N1965" s="22"/>
      <x:c r="O1965" s="17"/>
    </x:row>
    <x:row r="1966">
      <x:c r="A1966" s="17"/>
      <x:c r="B1966" s="20"/>
      <x:c r="C1966" s="21"/>
      <x:c r="D1966" s="17"/>
      <x:c r="E1966" s="17"/>
      <x:c r="F1966" s="17"/>
      <x:c r="G1966" s="17"/>
      <x:c r="H1966" s="17"/>
      <x:c r="I1966" s="17"/>
      <x:c r="J1966" s="17"/>
      <x:c r="K1966" s="17"/>
      <x:c r="L1966" s="17"/>
      <x:c r="M1966" s="17"/>
      <x:c r="N1966" s="22"/>
      <x:c r="O1966" s="17"/>
    </x:row>
    <x:row r="1967">
      <x:c r="A1967" s="17"/>
      <x:c r="B1967" s="20"/>
      <x:c r="C1967" s="21"/>
      <x:c r="D1967" s="17"/>
      <x:c r="E1967" s="17"/>
      <x:c r="F1967" s="17"/>
      <x:c r="G1967" s="17"/>
      <x:c r="H1967" s="17"/>
      <x:c r="I1967" s="17"/>
      <x:c r="J1967" s="17"/>
      <x:c r="K1967" s="17"/>
      <x:c r="L1967" s="17"/>
      <x:c r="M1967" s="17"/>
      <x:c r="N1967" s="22"/>
      <x:c r="O1967" s="17"/>
    </x:row>
    <x:row r="1968">
      <x:c r="A1968" s="17"/>
      <x:c r="B1968" s="20"/>
      <x:c r="C1968" s="21"/>
      <x:c r="D1968" s="17"/>
      <x:c r="E1968" s="17"/>
      <x:c r="F1968" s="17"/>
      <x:c r="G1968" s="17"/>
      <x:c r="H1968" s="17"/>
      <x:c r="I1968" s="17"/>
      <x:c r="J1968" s="17"/>
      <x:c r="K1968" s="17"/>
      <x:c r="L1968" s="17"/>
      <x:c r="M1968" s="17"/>
      <x:c r="N1968" s="22"/>
      <x:c r="O1968" s="17"/>
    </x:row>
    <x:row r="1969">
      <x:c r="A1969" s="17"/>
      <x:c r="B1969" s="20"/>
      <x:c r="C1969" s="21"/>
      <x:c r="D1969" s="17"/>
      <x:c r="E1969" s="17"/>
      <x:c r="F1969" s="17"/>
      <x:c r="G1969" s="17"/>
      <x:c r="H1969" s="17"/>
      <x:c r="I1969" s="17"/>
      <x:c r="J1969" s="17"/>
      <x:c r="K1969" s="17"/>
      <x:c r="L1969" s="17"/>
      <x:c r="M1969" s="17"/>
      <x:c r="N1969" s="22"/>
      <x:c r="O1969" s="17"/>
    </x:row>
    <x:row r="1970">
      <x:c r="A1970" s="17"/>
      <x:c r="B1970" s="20"/>
      <x:c r="C1970" s="21"/>
      <x:c r="D1970" s="17"/>
      <x:c r="E1970" s="17"/>
      <x:c r="F1970" s="17"/>
      <x:c r="G1970" s="17"/>
      <x:c r="H1970" s="17"/>
      <x:c r="I1970" s="17"/>
      <x:c r="J1970" s="17"/>
      <x:c r="K1970" s="17"/>
      <x:c r="L1970" s="17"/>
      <x:c r="M1970" s="17"/>
      <x:c r="N1970" s="22"/>
      <x:c r="O1970" s="17"/>
    </x:row>
    <x:row r="1971">
      <x:c r="A1971" s="17"/>
      <x:c r="B1971" s="20"/>
      <x:c r="C1971" s="21"/>
      <x:c r="D1971" s="17"/>
      <x:c r="E1971" s="17"/>
      <x:c r="F1971" s="17"/>
      <x:c r="G1971" s="17"/>
      <x:c r="H1971" s="17"/>
      <x:c r="I1971" s="17"/>
      <x:c r="J1971" s="17"/>
      <x:c r="K1971" s="17"/>
      <x:c r="L1971" s="17"/>
      <x:c r="M1971" s="17"/>
      <x:c r="N1971" s="22"/>
      <x:c r="O1971" s="17"/>
    </x:row>
    <x:row r="1972">
      <x:c r="A1972" s="17"/>
      <x:c r="B1972" s="20"/>
      <x:c r="C1972" s="21"/>
      <x:c r="D1972" s="17"/>
      <x:c r="E1972" s="17"/>
      <x:c r="F1972" s="17"/>
      <x:c r="G1972" s="17"/>
      <x:c r="H1972" s="17"/>
      <x:c r="I1972" s="17"/>
      <x:c r="J1972" s="17"/>
      <x:c r="K1972" s="17"/>
      <x:c r="L1972" s="17"/>
      <x:c r="M1972" s="17"/>
      <x:c r="N1972" s="22"/>
      <x:c r="O1972" s="17"/>
    </x:row>
    <x:row r="1973">
      <x:c r="A1973" s="17"/>
      <x:c r="B1973" s="20"/>
      <x:c r="C1973" s="21"/>
      <x:c r="D1973" s="17"/>
      <x:c r="E1973" s="17"/>
      <x:c r="F1973" s="17"/>
      <x:c r="G1973" s="17"/>
      <x:c r="H1973" s="17"/>
      <x:c r="I1973" s="17"/>
      <x:c r="J1973" s="17"/>
      <x:c r="K1973" s="17"/>
      <x:c r="L1973" s="17"/>
      <x:c r="M1973" s="17"/>
      <x:c r="N1973" s="22"/>
      <x:c r="O1973" s="17"/>
    </x:row>
    <x:row r="1974">
      <x:c r="A1974" s="17"/>
      <x:c r="B1974" s="20"/>
      <x:c r="C1974" s="21"/>
      <x:c r="D1974" s="17"/>
      <x:c r="E1974" s="17"/>
      <x:c r="F1974" s="17"/>
      <x:c r="G1974" s="17"/>
      <x:c r="H1974" s="17"/>
      <x:c r="I1974" s="17"/>
      <x:c r="J1974" s="17"/>
      <x:c r="K1974" s="17"/>
      <x:c r="L1974" s="17"/>
      <x:c r="M1974" s="17"/>
      <x:c r="N1974" s="22"/>
      <x:c r="O1974" s="17"/>
    </x:row>
    <x:row r="1975">
      <x:c r="A1975" s="17"/>
      <x:c r="B1975" s="20"/>
      <x:c r="C1975" s="21"/>
      <x:c r="D1975" s="17"/>
      <x:c r="E1975" s="17"/>
      <x:c r="F1975" s="17"/>
      <x:c r="G1975" s="17"/>
      <x:c r="H1975" s="17"/>
      <x:c r="I1975" s="17"/>
      <x:c r="J1975" s="17"/>
      <x:c r="K1975" s="17"/>
      <x:c r="L1975" s="17"/>
      <x:c r="M1975" s="17"/>
      <x:c r="N1975" s="22"/>
      <x:c r="O1975" s="17"/>
    </x:row>
    <x:row r="1976">
      <x:c r="A1976" s="17"/>
      <x:c r="B1976" s="20"/>
      <x:c r="C1976" s="21"/>
      <x:c r="D1976" s="17"/>
      <x:c r="E1976" s="17"/>
      <x:c r="F1976" s="17"/>
      <x:c r="G1976" s="17"/>
      <x:c r="H1976" s="17"/>
      <x:c r="I1976" s="17"/>
      <x:c r="J1976" s="17"/>
      <x:c r="K1976" s="17"/>
      <x:c r="L1976" s="17"/>
      <x:c r="M1976" s="17"/>
      <x:c r="N1976" s="22"/>
      <x:c r="O1976" s="17"/>
    </x:row>
    <x:row r="1977">
      <x:c r="A1977" s="17"/>
      <x:c r="B1977" s="20"/>
      <x:c r="C1977" s="21"/>
      <x:c r="D1977" s="17"/>
      <x:c r="E1977" s="17"/>
      <x:c r="F1977" s="17"/>
      <x:c r="G1977" s="17"/>
      <x:c r="H1977" s="17"/>
      <x:c r="I1977" s="17"/>
      <x:c r="J1977" s="17"/>
      <x:c r="K1977" s="17"/>
      <x:c r="L1977" s="17"/>
      <x:c r="M1977" s="17"/>
      <x:c r="N1977" s="22"/>
      <x:c r="O1977" s="17"/>
    </x:row>
    <x:row r="1978">
      <x:c r="A1978" s="17"/>
      <x:c r="B1978" s="20"/>
      <x:c r="C1978" s="21"/>
      <x:c r="D1978" s="17"/>
      <x:c r="E1978" s="17"/>
      <x:c r="F1978" s="17"/>
      <x:c r="G1978" s="17"/>
      <x:c r="H1978" s="17"/>
      <x:c r="I1978" s="17"/>
      <x:c r="J1978" s="17"/>
      <x:c r="K1978" s="17"/>
      <x:c r="L1978" s="17"/>
      <x:c r="M1978" s="17"/>
      <x:c r="N1978" s="22"/>
      <x:c r="O1978" s="17"/>
    </x:row>
    <x:row r="1979">
      <x:c r="A1979" s="17"/>
      <x:c r="B1979" s="20"/>
      <x:c r="C1979" s="21"/>
      <x:c r="D1979" s="17"/>
      <x:c r="E1979" s="17"/>
      <x:c r="F1979" s="17"/>
      <x:c r="G1979" s="17"/>
      <x:c r="H1979" s="17"/>
      <x:c r="I1979" s="17"/>
      <x:c r="J1979" s="17"/>
      <x:c r="K1979" s="17"/>
      <x:c r="L1979" s="17"/>
      <x:c r="M1979" s="17"/>
      <x:c r="N1979" s="22"/>
      <x:c r="O1979" s="17"/>
    </x:row>
    <x:row r="1980">
      <x:c r="A1980" s="17"/>
      <x:c r="B1980" s="20"/>
      <x:c r="C1980" s="21"/>
      <x:c r="D1980" s="17"/>
      <x:c r="E1980" s="17"/>
      <x:c r="F1980" s="17"/>
      <x:c r="G1980" s="17"/>
      <x:c r="H1980" s="17"/>
      <x:c r="I1980" s="17"/>
      <x:c r="J1980" s="17"/>
      <x:c r="K1980" s="17"/>
      <x:c r="L1980" s="17"/>
      <x:c r="M1980" s="17"/>
      <x:c r="N1980" s="22"/>
      <x:c r="O1980" s="17"/>
    </x:row>
    <x:row r="1981">
      <x:c r="A1981" s="17"/>
      <x:c r="B1981" s="20"/>
      <x:c r="C1981" s="21"/>
      <x:c r="D1981" s="17"/>
      <x:c r="E1981" s="17"/>
      <x:c r="F1981" s="17"/>
      <x:c r="G1981" s="17"/>
      <x:c r="H1981" s="17"/>
      <x:c r="I1981" s="17"/>
      <x:c r="J1981" s="17"/>
      <x:c r="K1981" s="17"/>
      <x:c r="L1981" s="17"/>
      <x:c r="M1981" s="17"/>
      <x:c r="N1981" s="22"/>
      <x:c r="O1981" s="17"/>
    </x:row>
    <x:row r="1982">
      <x:c r="A1982" s="17"/>
      <x:c r="B1982" s="20"/>
      <x:c r="C1982" s="21"/>
      <x:c r="D1982" s="17"/>
      <x:c r="E1982" s="17"/>
      <x:c r="F1982" s="17"/>
      <x:c r="G1982" s="17"/>
      <x:c r="H1982" s="17"/>
      <x:c r="I1982" s="17"/>
      <x:c r="J1982" s="17"/>
      <x:c r="K1982" s="17"/>
      <x:c r="L1982" s="17"/>
      <x:c r="M1982" s="17"/>
      <x:c r="N1982" s="22"/>
      <x:c r="O1982" s="17"/>
    </x:row>
    <x:row r="1983">
      <x:c r="A1983" s="17"/>
      <x:c r="B1983" s="20"/>
      <x:c r="C1983" s="21"/>
      <x:c r="D1983" s="17"/>
      <x:c r="E1983" s="17"/>
      <x:c r="F1983" s="17"/>
      <x:c r="G1983" s="17"/>
      <x:c r="H1983" s="17"/>
      <x:c r="I1983" s="17"/>
      <x:c r="J1983" s="17"/>
      <x:c r="K1983" s="17"/>
      <x:c r="L1983" s="17"/>
      <x:c r="M1983" s="17"/>
      <x:c r="N1983" s="22"/>
      <x:c r="O1983" s="17"/>
    </x:row>
    <x:row r="1984">
      <x:c r="A1984" s="17"/>
      <x:c r="B1984" s="20"/>
      <x:c r="C1984" s="21"/>
      <x:c r="D1984" s="17"/>
      <x:c r="E1984" s="17"/>
      <x:c r="F1984" s="17"/>
      <x:c r="G1984" s="17"/>
      <x:c r="H1984" s="17"/>
      <x:c r="I1984" s="17"/>
      <x:c r="J1984" s="17"/>
      <x:c r="K1984" s="17"/>
      <x:c r="L1984" s="17"/>
      <x:c r="M1984" s="17"/>
      <x:c r="N1984" s="22"/>
      <x:c r="O1984" s="17"/>
    </x:row>
    <x:row r="1985">
      <x:c r="A1985" s="17"/>
      <x:c r="B1985" s="20"/>
      <x:c r="C1985" s="21"/>
      <x:c r="D1985" s="17"/>
      <x:c r="E1985" s="17"/>
      <x:c r="F1985" s="17"/>
      <x:c r="G1985" s="17"/>
      <x:c r="H1985" s="17"/>
      <x:c r="I1985" s="17"/>
      <x:c r="J1985" s="17"/>
      <x:c r="K1985" s="17"/>
      <x:c r="L1985" s="17"/>
      <x:c r="M1985" s="17"/>
      <x:c r="N1985" s="22"/>
      <x:c r="O1985" s="17"/>
    </x:row>
    <x:row r="1986">
      <x:c r="A1986" s="17"/>
      <x:c r="B1986" s="20"/>
      <x:c r="C1986" s="21"/>
      <x:c r="D1986" s="17"/>
      <x:c r="E1986" s="17"/>
      <x:c r="F1986" s="17"/>
      <x:c r="G1986" s="17"/>
      <x:c r="H1986" s="17"/>
      <x:c r="I1986" s="17"/>
      <x:c r="J1986" s="17"/>
      <x:c r="K1986" s="17"/>
      <x:c r="L1986" s="17"/>
      <x:c r="M1986" s="17"/>
      <x:c r="N1986" s="22"/>
      <x:c r="O1986" s="17"/>
    </x:row>
    <x:row r="1987">
      <x:c r="A1987" s="17"/>
      <x:c r="B1987" s="20"/>
      <x:c r="C1987" s="21"/>
      <x:c r="D1987" s="17"/>
      <x:c r="E1987" s="17"/>
      <x:c r="F1987" s="17"/>
      <x:c r="G1987" s="17"/>
      <x:c r="H1987" s="17"/>
      <x:c r="I1987" s="17"/>
      <x:c r="J1987" s="17"/>
      <x:c r="K1987" s="17"/>
      <x:c r="L1987" s="17"/>
      <x:c r="M1987" s="17"/>
      <x:c r="N1987" s="22"/>
      <x:c r="O1987" s="17"/>
    </x:row>
    <x:row r="1988">
      <x:c r="A1988" s="17"/>
      <x:c r="B1988" s="20"/>
      <x:c r="C1988" s="21"/>
      <x:c r="D1988" s="17"/>
      <x:c r="E1988" s="17"/>
      <x:c r="F1988" s="17"/>
      <x:c r="G1988" s="17"/>
      <x:c r="H1988" s="17"/>
      <x:c r="I1988" s="17"/>
      <x:c r="J1988" s="17"/>
      <x:c r="K1988" s="17"/>
      <x:c r="L1988" s="17"/>
      <x:c r="M1988" s="17"/>
      <x:c r="N1988" s="22"/>
      <x:c r="O1988" s="17"/>
    </x:row>
    <x:row r="1989">
      <x:c r="A1989" s="17"/>
      <x:c r="B1989" s="20"/>
      <x:c r="C1989" s="21"/>
      <x:c r="D1989" s="17"/>
      <x:c r="E1989" s="17"/>
      <x:c r="F1989" s="17"/>
      <x:c r="G1989" s="17"/>
      <x:c r="H1989" s="17"/>
      <x:c r="I1989" s="17"/>
      <x:c r="J1989" s="17"/>
      <x:c r="K1989" s="17"/>
      <x:c r="L1989" s="17"/>
      <x:c r="M1989" s="17"/>
      <x:c r="N1989" s="22"/>
      <x:c r="O1989" s="17"/>
    </x:row>
    <x:row r="1990">
      <x:c r="A1990" s="17"/>
      <x:c r="B1990" s="20"/>
      <x:c r="C1990" s="21"/>
      <x:c r="D1990" s="17"/>
      <x:c r="E1990" s="17"/>
      <x:c r="F1990" s="17"/>
      <x:c r="G1990" s="17"/>
      <x:c r="H1990" s="17"/>
      <x:c r="I1990" s="17"/>
      <x:c r="J1990" s="17"/>
      <x:c r="K1990" s="17"/>
      <x:c r="L1990" s="17"/>
      <x:c r="M1990" s="17"/>
      <x:c r="N1990" s="22"/>
      <x:c r="O1990" s="17"/>
    </x:row>
    <x:row r="1991">
      <x:c r="A1991" s="17"/>
      <x:c r="B1991" s="20"/>
      <x:c r="C1991" s="21"/>
      <x:c r="D1991" s="17"/>
      <x:c r="E1991" s="17"/>
      <x:c r="F1991" s="17"/>
      <x:c r="G1991" s="17"/>
      <x:c r="H1991" s="17"/>
      <x:c r="I1991" s="17"/>
      <x:c r="J1991" s="17"/>
      <x:c r="K1991" s="17"/>
      <x:c r="L1991" s="17"/>
      <x:c r="M1991" s="17"/>
      <x:c r="N1991" s="22"/>
      <x:c r="O1991" s="17"/>
    </x:row>
    <x:row r="1992">
      <x:c r="A1992" s="17"/>
      <x:c r="B1992" s="20"/>
      <x:c r="C1992" s="21"/>
      <x:c r="D1992" s="17"/>
      <x:c r="E1992" s="17"/>
      <x:c r="F1992" s="17"/>
      <x:c r="G1992" s="17"/>
      <x:c r="H1992" s="17"/>
      <x:c r="I1992" s="17"/>
      <x:c r="J1992" s="17"/>
      <x:c r="K1992" s="17"/>
      <x:c r="L1992" s="17"/>
      <x:c r="M1992" s="17"/>
      <x:c r="N1992" s="22"/>
      <x:c r="O1992" s="17"/>
    </x:row>
    <x:row r="1993">
      <x:c r="A1993" s="17"/>
      <x:c r="B1993" s="20"/>
      <x:c r="C1993" s="21"/>
      <x:c r="D1993" s="17"/>
      <x:c r="E1993" s="17"/>
      <x:c r="F1993" s="17"/>
      <x:c r="G1993" s="17"/>
      <x:c r="H1993" s="17"/>
      <x:c r="I1993" s="17"/>
      <x:c r="J1993" s="17"/>
      <x:c r="K1993" s="17"/>
      <x:c r="L1993" s="17"/>
      <x:c r="M1993" s="17"/>
      <x:c r="N1993" s="22"/>
      <x:c r="O1993" s="17"/>
    </x:row>
    <x:row r="1994">
      <x:c r="A1994" s="17"/>
      <x:c r="B1994" s="20"/>
      <x:c r="C1994" s="21"/>
      <x:c r="D1994" s="17"/>
      <x:c r="E1994" s="17"/>
      <x:c r="F1994" s="17"/>
      <x:c r="G1994" s="17"/>
      <x:c r="H1994" s="17"/>
      <x:c r="I1994" s="17"/>
      <x:c r="J1994" s="17"/>
      <x:c r="K1994" s="17"/>
      <x:c r="L1994" s="17"/>
      <x:c r="M1994" s="17"/>
      <x:c r="N1994" s="22"/>
      <x:c r="O1994" s="17"/>
    </x:row>
    <x:row r="1995">
      <x:c r="A1995" s="17"/>
      <x:c r="B1995" s="20"/>
      <x:c r="C1995" s="21"/>
      <x:c r="D1995" s="17"/>
      <x:c r="E1995" s="17"/>
      <x:c r="F1995" s="17"/>
      <x:c r="G1995" s="17"/>
      <x:c r="H1995" s="17"/>
      <x:c r="I1995" s="17"/>
      <x:c r="J1995" s="17"/>
      <x:c r="K1995" s="17"/>
      <x:c r="L1995" s="17"/>
      <x:c r="M1995" s="17"/>
      <x:c r="N1995" s="22"/>
      <x:c r="O1995" s="17"/>
    </x:row>
    <x:row r="1996">
      <x:c r="A1996" s="17"/>
      <x:c r="B1996" s="20"/>
      <x:c r="C1996" s="21"/>
      <x:c r="D1996" s="17"/>
      <x:c r="E1996" s="17"/>
      <x:c r="F1996" s="17"/>
      <x:c r="G1996" s="17"/>
      <x:c r="H1996" s="17"/>
      <x:c r="I1996" s="17"/>
      <x:c r="J1996" s="17"/>
      <x:c r="K1996" s="17"/>
      <x:c r="L1996" s="17"/>
      <x:c r="M1996" s="17"/>
      <x:c r="N1996" s="22"/>
      <x:c r="O1996" s="17"/>
    </x:row>
    <x:row r="1997">
      <x:c r="A1997" s="17"/>
      <x:c r="B1997" s="20"/>
      <x:c r="C1997" s="21"/>
      <x:c r="D1997" s="17"/>
      <x:c r="E1997" s="17"/>
      <x:c r="F1997" s="17"/>
      <x:c r="G1997" s="17"/>
      <x:c r="H1997" s="17"/>
      <x:c r="I1997" s="17"/>
      <x:c r="J1997" s="17"/>
      <x:c r="K1997" s="17"/>
      <x:c r="L1997" s="17"/>
      <x:c r="M1997" s="17"/>
      <x:c r="N1997" s="22"/>
      <x:c r="O1997" s="17"/>
    </x:row>
    <x:row r="1998">
      <x:c r="A1998" s="17"/>
      <x:c r="B1998" s="20"/>
      <x:c r="C1998" s="21"/>
      <x:c r="D1998" s="17"/>
      <x:c r="E1998" s="17"/>
      <x:c r="F1998" s="17"/>
      <x:c r="G1998" s="17"/>
      <x:c r="H1998" s="17"/>
      <x:c r="I1998" s="17"/>
      <x:c r="J1998" s="17"/>
      <x:c r="K1998" s="17"/>
      <x:c r="L1998" s="17"/>
      <x:c r="M1998" s="17"/>
      <x:c r="N1998" s="22"/>
      <x:c r="O1998" s="17"/>
    </x:row>
    <x:row r="1999">
      <x:c r="A1999" s="17"/>
      <x:c r="B1999" s="20"/>
      <x:c r="C1999" s="21"/>
      <x:c r="D1999" s="17"/>
      <x:c r="E1999" s="17"/>
      <x:c r="F1999" s="17"/>
      <x:c r="G1999" s="17"/>
      <x:c r="H1999" s="17"/>
      <x:c r="I1999" s="17"/>
      <x:c r="J1999" s="17"/>
      <x:c r="K1999" s="17"/>
      <x:c r="L1999" s="17"/>
      <x:c r="M1999" s="17"/>
      <x:c r="N1999" s="22"/>
      <x:c r="O1999" s="17"/>
    </x:row>
    <x:row r="2000">
      <x:c r="A2000" s="17"/>
      <x:c r="B2000" s="20"/>
      <x:c r="C2000" s="21"/>
      <x:c r="D2000" s="17"/>
      <x:c r="E2000" s="17"/>
      <x:c r="F2000" s="17"/>
      <x:c r="G2000" s="17"/>
      <x:c r="H2000" s="17"/>
      <x:c r="I2000" s="17"/>
      <x:c r="J2000" s="17"/>
      <x:c r="K2000" s="17"/>
      <x:c r="L2000" s="17"/>
      <x:c r="M2000" s="17"/>
      <x:c r="N2000" s="22"/>
      <x:c r="O2000" s="17"/>
    </x:row>
    <x:row r="2001">
      <x:c r="A2001" s="17"/>
      <x:c r="B2001" s="20"/>
      <x:c r="C2001" s="21"/>
      <x:c r="D2001" s="17"/>
      <x:c r="E2001" s="17"/>
      <x:c r="F2001" s="17"/>
      <x:c r="G2001" s="17"/>
      <x:c r="H2001" s="17"/>
      <x:c r="I2001" s="17"/>
      <x:c r="J2001" s="17"/>
      <x:c r="K2001" s="17"/>
      <x:c r="L2001" s="17"/>
      <x:c r="M2001" s="17"/>
      <x:c r="N2001" s="22"/>
      <x:c r="O2001" s="17"/>
    </x:row>
  </x:sheetData>
  <x:dataValidations count="1">
    <x:dataValidation type="list" allowBlank="1" showDropDown="0" sqref="K2:K2001">
      <x:formula1>"Recorded,Duplicate,Student not found"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b65cfb9d3486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23.329999923706055" hidden="0" customWidth="1"/>
    <x:col min="3" max="3" width="8.890000343322754" hidden="0" customWidth="1"/>
    <x:col min="4" max="4" width="10" hidden="0" customWidth="1"/>
    <x:col min="5" max="5" width="11.109999656677246" hidden="0" customWidth="1"/>
    <x:col min="6" max="6" width="13.329999923706055" hidden="0" customWidth="1"/>
    <x:col min="7" max="7" width="11.109999656677246" hidden="0" customWidth="1"/>
  </x:cols>
  <x:sheetData>
    <x:row r="1">
      <x:c r="A1" s="13" t="str">
        <x:v>student_id</x:v>
      </x:c>
      <x:c r="B1" s="13" t="str">
        <x:v>full_name</x:v>
      </x:c>
      <x:c r="C1" s="13" t="str">
        <x:v>grade</x:v>
      </x:c>
      <x:c r="D1" s="13" t="str">
        <x:v>room</x:v>
      </x:c>
      <x:c r="E1" s="13" t="str">
        <x:v>late_count</x:v>
      </x:c>
      <x:c r="F1" s="13" t="str">
        <x:v>last_late_date</x:v>
      </x:c>
      <x:c r="G1" s="13" t="str">
        <x:v>risk</x:v>
      </x:c>
    </x:row>
    <x:row r="2">
      <x:c r="A2" s="17" t="str">
        <x:f>IF(Students!A2="","",Students!A2)</x:f>
        <x:v>66001</x:v>
      </x:c>
      <x:c r="B2" s="17" t="str">
        <x:f>IF(A2="","",Students!F2)</x:f>
        <x:v>ด.ช.กิตติ ใจดี</x:v>
      </x:c>
      <x:c r="C2" s="17" t="str">
        <x:f>IF(A2="","",Students!G2)</x:f>
        <x:v>ม.1</x:v>
      </x:c>
      <x:c r="D2" s="17" t="str">
        <x:f>IF(A2="","",Students!H2)</x:f>
        <x:v>ม.1/1</x:v>
      </x:c>
      <x:c r="E2" s="22" t="n">
        <x:f>IF(A2="","",COUNTIFS(Late_Transactions!E:E,A2,Late_Transactions!K:K,"Recorded"))</x:f>
        <x:v>4</x:v>
      </x:c>
      <x:c r="F2" s="21" t="n">
        <x:f>IFERROR(MAXIFS(Late_Transactions!C:C,Late_Transactions!E:E,A2,Late_Transactions!K:K,"Recorded"),"")</x:f>
        <x:v>46167</x:v>
      </x:c>
      <x:c r="G2" s="17" t="str">
        <x:f>IF(E2="","",IF(E2&gt;=5,"High",IF(E2&gt;=3,"Watch","OK")))</x:f>
        <x:v>Watch</x:v>
      </x:c>
    </x:row>
    <x:row r="3">
      <x:c r="A3" s="17" t="str">
        <x:f>IF(Students!A3="","",Students!A3)</x:f>
        <x:v>66002</x:v>
      </x:c>
      <x:c r="B3" s="17" t="str">
        <x:f>IF(A3="","",Students!F3)</x:f>
        <x:v>ด.ญ.ปวีณา สุขใจ</x:v>
      </x:c>
      <x:c r="C3" s="17" t="str">
        <x:f>IF(A3="","",Students!G3)</x:f>
        <x:v>ม.1</x:v>
      </x:c>
      <x:c r="D3" s="17" t="str">
        <x:f>IF(A3="","",Students!H3)</x:f>
        <x:v>ม.1/1</x:v>
      </x:c>
      <x:c r="E3" s="22" t="n">
        <x:f>IF(A3="","",COUNTIFS(Late_Transactions!E:E,A3,Late_Transactions!K:K,"Recorded"))</x:f>
        <x:v>1</x:v>
      </x:c>
      <x:c r="F3" s="21" t="n">
        <x:f>IFERROR(MAXIFS(Late_Transactions!C:C,Late_Transactions!E:E,A3,Late_Transactions!K:K,"Recorded"),"")</x:f>
        <x:v>46163</x:v>
      </x:c>
      <x:c r="G3" s="17" t="str">
        <x:f>IF(E3="","",IF(E3&gt;=5,"High",IF(E3&gt;=3,"Watch","OK")))</x:f>
        <x:v>OK</x:v>
      </x:c>
    </x:row>
    <x:row r="4">
      <x:c r="A4" s="17" t="str">
        <x:f>IF(Students!A4="","",Students!A4)</x:f>
        <x:v>66003</x:v>
      </x:c>
      <x:c r="B4" s="17" t="str">
        <x:f>IF(A4="","",Students!F4)</x:f>
        <x:v>ด.ช.ธนกร ตั้งใจ</x:v>
      </x:c>
      <x:c r="C4" s="17" t="str">
        <x:f>IF(A4="","",Students!G4)</x:f>
        <x:v>ม.1</x:v>
      </x:c>
      <x:c r="D4" s="17" t="str">
        <x:f>IF(A4="","",Students!H4)</x:f>
        <x:v>ม.1/2</x:v>
      </x:c>
      <x:c r="E4" s="22" t="n">
        <x:f>IF(A4="","",COUNTIFS(Late_Transactions!E:E,A4,Late_Transactions!K:K,"Recorded"))</x:f>
        <x:v>0</x:v>
      </x:c>
      <x:c r="F4" s="21" t="n">
        <x:f>IFERROR(MAXIFS(Late_Transactions!C:C,Late_Transactions!E:E,A4,Late_Transactions!K:K,"Recorded"),"")</x:f>
        <x:v>0</x:v>
      </x:c>
      <x:c r="G4" s="17" t="str">
        <x:f>IF(E4="","",IF(E4&gt;=5,"High",IF(E4&gt;=3,"Watch","OK")))</x:f>
      </x:c>
    </x:row>
    <x:row r="5">
      <x:c r="A5" s="17" t="str">
        <x:f>IF(Students!A5="","",Students!A5)</x:f>
        <x:v>66004</x:v>
      </x:c>
      <x:c r="B5" s="17" t="str">
        <x:f>IF(A5="","",Students!F5)</x:f>
        <x:v>ด.ญ.วรัญญา แสงดี</x:v>
      </x:c>
      <x:c r="C5" s="17" t="str">
        <x:f>IF(A5="","",Students!G5)</x:f>
        <x:v>ม.1</x:v>
      </x:c>
      <x:c r="D5" s="17" t="str">
        <x:f>IF(A5="","",Students!H5)</x:f>
        <x:v>ม.1/2</x:v>
      </x:c>
      <x:c r="E5" s="22" t="n">
        <x:f>IF(A5="","",COUNTIFS(Late_Transactions!E:E,A5,Late_Transactions!K:K,"Recorded"))</x:f>
        <x:v>0</x:v>
      </x:c>
      <x:c r="F5" s="21" t="n">
        <x:f>IFERROR(MAXIFS(Late_Transactions!C:C,Late_Transactions!E:E,A5,Late_Transactions!K:K,"Recorded"),"")</x:f>
        <x:v>0</x:v>
      </x:c>
      <x:c r="G5" s="17" t="str">
        <x:f>IF(E5="","",IF(E5&gt;=5,"High",IF(E5&gt;=3,"Watch","OK")))</x:f>
      </x:c>
    </x:row>
    <x:row r="6">
      <x:c r="A6" s="17" t="str">
        <x:f>IF(Students!A6="","",Students!A6)</x:f>
        <x:v>65001</x:v>
      </x:c>
      <x:c r="B6" s="17" t="str">
        <x:f>IF(A6="","",Students!F6)</x:f>
        <x:v>ด.ช.ภาคิน มั่นคง</x:v>
      </x:c>
      <x:c r="C6" s="17" t="str">
        <x:f>IF(A6="","",Students!G6)</x:f>
        <x:v>ม.2</x:v>
      </x:c>
      <x:c r="D6" s="17" t="str">
        <x:f>IF(A6="","",Students!H6)</x:f>
        <x:v>ม.2/1</x:v>
      </x:c>
      <x:c r="E6" s="22" t="n">
        <x:f>IF(A6="","",COUNTIFS(Late_Transactions!E:E,A6,Late_Transactions!K:K,"Recorded"))</x:f>
        <x:v>1</x:v>
      </x:c>
      <x:c r="F6" s="21" t="n">
        <x:f>IFERROR(MAXIFS(Late_Transactions!C:C,Late_Transactions!E:E,A6,Late_Transactions!K:K,"Recorded"),"")</x:f>
        <x:v>46162</x:v>
      </x:c>
      <x:c r="G6" s="17" t="str">
        <x:f>IF(E6="","",IF(E6&gt;=5,"High",IF(E6&gt;=3,"Watch","OK")))</x:f>
        <x:v>OK</x:v>
      </x:c>
    </x:row>
    <x:row r="7">
      <x:c r="A7" s="17" t="str">
        <x:f>IF(Students!A7="","",Students!A7)</x:f>
        <x:v>65002</x:v>
      </x:c>
      <x:c r="B7" s="17" t="str">
        <x:f>IF(A7="","",Students!F7)</x:f>
        <x:v>ด.ญ.นันท์นภัส เรียนดี</x:v>
      </x:c>
      <x:c r="C7" s="17" t="str">
        <x:f>IF(A7="","",Students!G7)</x:f>
        <x:v>ม.2</x:v>
      </x:c>
      <x:c r="D7" s="17" t="str">
        <x:f>IF(A7="","",Students!H7)</x:f>
        <x:v>ม.2/1</x:v>
      </x:c>
      <x:c r="E7" s="22" t="n">
        <x:f>IF(A7="","",COUNTIFS(Late_Transactions!E:E,A7,Late_Transactions!K:K,"Recorded"))</x:f>
        <x:v>1</x:v>
      </x:c>
      <x:c r="F7" s="21" t="n">
        <x:f>IFERROR(MAXIFS(Late_Transactions!C:C,Late_Transactions!E:E,A7,Late_Transactions!K:K,"Recorded"),"")</x:f>
        <x:v>46165</x:v>
      </x:c>
      <x:c r="G7" s="17" t="str">
        <x:f>IF(E7="","",IF(E7&gt;=5,"High",IF(E7&gt;=3,"Watch","OK")))</x:f>
        <x:v>OK</x:v>
      </x:c>
    </x:row>
    <x:row r="8">
      <x:c r="A8" s="17" t="str">
        <x:f>IF(Students!A8="","",Students!A8)</x:f>
        <x:v>65003</x:v>
      </x:c>
      <x:c r="B8" s="17" t="str">
        <x:f>IF(A8="","",Students!F8)</x:f>
        <x:v>ด.ช.ชยพล เพียรดี</x:v>
      </x:c>
      <x:c r="C8" s="17" t="str">
        <x:f>IF(A8="","",Students!G8)</x:f>
        <x:v>ม.2</x:v>
      </x:c>
      <x:c r="D8" s="17" t="str">
        <x:f>IF(A8="","",Students!H8)</x:f>
        <x:v>ม.2/2</x:v>
      </x:c>
      <x:c r="E8" s="22" t="n">
        <x:f>IF(A8="","",COUNTIFS(Late_Transactions!E:E,A8,Late_Transactions!K:K,"Recorded"))</x:f>
        <x:v>1</x:v>
      </x:c>
      <x:c r="F8" s="21" t="n">
        <x:f>IFERROR(MAXIFS(Late_Transactions!C:C,Late_Transactions!E:E,A8,Late_Transactions!K:K,"Recorded"),"")</x:f>
        <x:v>46163</x:v>
      </x:c>
      <x:c r="G8" s="17" t="str">
        <x:f>IF(E8="","",IF(E8&gt;=5,"High",IF(E8&gt;=3,"Watch","OK")))</x:f>
        <x:v>OK</x:v>
      </x:c>
    </x:row>
    <x:row r="9">
      <x:c r="A9" s="17" t="str">
        <x:f>IF(Students!A9="","",Students!A9)</x:f>
        <x:v>65004</x:v>
      </x:c>
      <x:c r="B9" s="17" t="str">
        <x:f>IF(A9="","",Students!F9)</x:f>
        <x:v>ด.ญ.สุชาดา สว่าง</x:v>
      </x:c>
      <x:c r="C9" s="17" t="str">
        <x:f>IF(A9="","",Students!G9)</x:f>
        <x:v>ม.2</x:v>
      </x:c>
      <x:c r="D9" s="17" t="str">
        <x:f>IF(A9="","",Students!H9)</x:f>
        <x:v>ม.2/2</x:v>
      </x:c>
      <x:c r="E9" s="22" t="n">
        <x:f>IF(A9="","",COUNTIFS(Late_Transactions!E:E,A9,Late_Transactions!K:K,"Recorded"))</x:f>
        <x:v>0</x:v>
      </x:c>
      <x:c r="F9" s="21" t="n">
        <x:f>IFERROR(MAXIFS(Late_Transactions!C:C,Late_Transactions!E:E,A9,Late_Transactions!K:K,"Recorded"),"")</x:f>
        <x:v>0</x:v>
      </x:c>
      <x:c r="G9" s="17" t="str">
        <x:f>IF(E9="","",IF(E9&gt;=5,"High",IF(E9&gt;=3,"Watch","OK")))</x:f>
      </x:c>
    </x:row>
    <x:row r="10">
      <x:c r="A10" s="17" t="str">
        <x:f>IF(Students!A10="","",Students!A10)</x:f>
        <x:v>64001</x:v>
      </x:c>
      <x:c r="B10" s="17" t="str">
        <x:f>IF(A10="","",Students!F10)</x:f>
        <x:v>นายปรเมศวร์ ตั้งตรง</x:v>
      </x:c>
      <x:c r="C10" s="17" t="str">
        <x:f>IF(A10="","",Students!G10)</x:f>
        <x:v>ม.3</x:v>
      </x:c>
      <x:c r="D10" s="17" t="str">
        <x:f>IF(A10="","",Students!H10)</x:f>
        <x:v>ม.3/1</x:v>
      </x:c>
      <x:c r="E10" s="22" t="n">
        <x:f>IF(A10="","",COUNTIFS(Late_Transactions!E:E,A10,Late_Transactions!K:K,"Recorded"))</x:f>
        <x:v>1</x:v>
      </x:c>
      <x:c r="F10" s="21" t="n">
        <x:f>IFERROR(MAXIFS(Late_Transactions!C:C,Late_Transactions!E:E,A10,Late_Transactions!K:K,"Recorded"),"")</x:f>
        <x:v>46164</x:v>
      </x:c>
      <x:c r="G10" s="17" t="str">
        <x:f>IF(E10="","",IF(E10&gt;=5,"High",IF(E10&gt;=3,"Watch","OK")))</x:f>
        <x:v>OK</x:v>
      </x:c>
    </x:row>
    <x:row r="11">
      <x:c r="A11" s="17" t="str">
        <x:f>IF(Students!A11="","",Students!A11)</x:f>
        <x:v>64002</x:v>
      </x:c>
      <x:c r="B11" s="17" t="str">
        <x:f>IF(A11="","",Students!F11)</x:f>
        <x:v>น.ส.รินรดา อ่อนโยน</x:v>
      </x:c>
      <x:c r="C11" s="17" t="str">
        <x:f>IF(A11="","",Students!G11)</x:f>
        <x:v>ม.3</x:v>
      </x:c>
      <x:c r="D11" s="17" t="str">
        <x:f>IF(A11="","",Students!H11)</x:f>
        <x:v>ม.3/1</x:v>
      </x:c>
      <x:c r="E11" s="22" t="n">
        <x:f>IF(A11="","",COUNTIFS(Late_Transactions!E:E,A11,Late_Transactions!K:K,"Recorded"))</x:f>
        <x:v>0</x:v>
      </x:c>
      <x:c r="F11" s="21" t="n">
        <x:f>IFERROR(MAXIFS(Late_Transactions!C:C,Late_Transactions!E:E,A11,Late_Transactions!K:K,"Recorded"),"")</x:f>
        <x:v>0</x:v>
      </x:c>
      <x:c r="G11" s="17" t="str">
        <x:f>IF(E11="","",IF(E11&gt;=5,"High",IF(E11&gt;=3,"Watch","OK")))</x:f>
      </x:c>
    </x:row>
    <x:row r="12">
      <x:c r="A12" s="17" t="str">
        <x:f>IF(Students!A12="","",Students!A12)</x:f>
        <x:v>64003</x:v>
      </x:c>
      <x:c r="B12" s="17" t="str">
        <x:f>IF(A12="","",Students!F12)</x:f>
        <x:v>นายณัฐวุฒิ สดใส</x:v>
      </x:c>
      <x:c r="C12" s="17" t="str">
        <x:f>IF(A12="","",Students!G12)</x:f>
        <x:v>ม.3</x:v>
      </x:c>
      <x:c r="D12" s="17" t="str">
        <x:f>IF(A12="","",Students!H12)</x:f>
        <x:v>ม.3/2</x:v>
      </x:c>
      <x:c r="E12" s="22" t="n">
        <x:f>IF(A12="","",COUNTIFS(Late_Transactions!E:E,A12,Late_Transactions!K:K,"Recorded"))</x:f>
        <x:v>1</x:v>
      </x:c>
      <x:c r="F12" s="21" t="n">
        <x:f>IFERROR(MAXIFS(Late_Transactions!C:C,Late_Transactions!E:E,A12,Late_Transactions!K:K,"Recorded"),"")</x:f>
        <x:v>46165</x:v>
      </x:c>
      <x:c r="G12" s="17" t="str">
        <x:f>IF(E12="","",IF(E12&gt;=5,"High",IF(E12&gt;=3,"Watch","OK")))</x:f>
        <x:v>OK</x:v>
      </x:c>
    </x:row>
    <x:row r="13">
      <x:c r="A13" s="17" t="str">
        <x:f>IF(Students!A13="","",Students!A13)</x:f>
        <x:v>64004</x:v>
      </x:c>
      <x:c r="B13" s="17" t="str">
        <x:f>IF(A13="","",Students!F13)</x:f>
        <x:v>น.ส.พิชชาภา ใฝ่รู้</x:v>
      </x:c>
      <x:c r="C13" s="17" t="str">
        <x:f>IF(A13="","",Students!G13)</x:f>
        <x:v>ม.3</x:v>
      </x:c>
      <x:c r="D13" s="17" t="str">
        <x:f>IF(A13="","",Students!H13)</x:f>
        <x:v>ม.3/2</x:v>
      </x:c>
      <x:c r="E13" s="22" t="n">
        <x:f>IF(A13="","",COUNTIFS(Late_Transactions!E:E,A13,Late_Transactions!K:K,"Recorded"))</x:f>
        <x:v>0</x:v>
      </x:c>
      <x:c r="F13" s="21" t="n">
        <x:f>IFERROR(MAXIFS(Late_Transactions!C:C,Late_Transactions!E:E,A13,Late_Transactions!K:K,"Recorded"),"")</x:f>
        <x:v>0</x:v>
      </x:c>
      <x:c r="G13" s="17" t="str">
        <x:f>IF(E13="","",IF(E13&gt;=5,"High",IF(E13&gt;=3,"Watch","OK")))</x:f>
      </x:c>
    </x:row>
    <x:row r="14">
      <x:c r="A14" s="17" t="str">
        <x:f>IF(Students!A14="","",Students!A14)</x:f>
      </x:c>
      <x:c r="B14" s="17" t="str">
        <x:f>IF(A14="","",Students!F14)</x:f>
      </x:c>
      <x:c r="C14" s="17" t="str">
        <x:f>IF(A14="","",Students!G14)</x:f>
      </x:c>
      <x:c r="D14" s="17" t="str">
        <x:f>IF(A14="","",Students!H14)</x:f>
      </x:c>
      <x:c r="E14" s="22" t="str">
        <x:f>IF(A14="","",COUNTIFS(Late_Transactions!E:E,A14,Late_Transactions!K:K,"Recorded"))</x:f>
      </x:c>
      <x:c r="F14" s="21" t="n">
        <x:f>IFERROR(MAXIFS(Late_Transactions!C:C,Late_Transactions!E:E,A14,Late_Transactions!K:K,"Recorded"),"")</x:f>
        <x:v>0</x:v>
      </x:c>
      <x:c r="G14" s="17" t="str">
        <x:f>IF(E14="","",IF(E14&gt;=5,"High",IF(E14&gt;=3,"Watch","OK")))</x:f>
      </x:c>
    </x:row>
    <x:row r="15">
      <x:c r="A15" s="17" t="str">
        <x:f>IF(Students!A15="","",Students!A15)</x:f>
      </x:c>
      <x:c r="B15" s="17" t="str">
        <x:f>IF(A15="","",Students!F15)</x:f>
      </x:c>
      <x:c r="C15" s="17" t="str">
        <x:f>IF(A15="","",Students!G15)</x:f>
      </x:c>
      <x:c r="D15" s="17" t="str">
        <x:f>IF(A15="","",Students!H15)</x:f>
      </x:c>
      <x:c r="E15" s="22" t="str">
        <x:f>IF(A15="","",COUNTIFS(Late_Transactions!E:E,A15,Late_Transactions!K:K,"Recorded"))</x:f>
      </x:c>
      <x:c r="F15" s="21" t="n">
        <x:f>IFERROR(MAXIFS(Late_Transactions!C:C,Late_Transactions!E:E,A15,Late_Transactions!K:K,"Recorded"),"")</x:f>
        <x:v>0</x:v>
      </x:c>
      <x:c r="G15" s="17" t="str">
        <x:f>IF(E15="","",IF(E15&gt;=5,"High",IF(E15&gt;=3,"Watch","OK")))</x:f>
      </x:c>
    </x:row>
    <x:row r="16">
      <x:c r="A16" s="17" t="str">
        <x:f>IF(Students!A16="","",Students!A16)</x:f>
      </x:c>
      <x:c r="B16" s="17" t="str">
        <x:f>IF(A16="","",Students!F16)</x:f>
      </x:c>
      <x:c r="C16" s="17" t="str">
        <x:f>IF(A16="","",Students!G16)</x:f>
      </x:c>
      <x:c r="D16" s="17" t="str">
        <x:f>IF(A16="","",Students!H16)</x:f>
      </x:c>
      <x:c r="E16" s="22" t="str">
        <x:f>IF(A16="","",COUNTIFS(Late_Transactions!E:E,A16,Late_Transactions!K:K,"Recorded"))</x:f>
      </x:c>
      <x:c r="F16" s="21" t="n">
        <x:f>IFERROR(MAXIFS(Late_Transactions!C:C,Late_Transactions!E:E,A16,Late_Transactions!K:K,"Recorded"),"")</x:f>
        <x:v>0</x:v>
      </x:c>
      <x:c r="G16" s="17" t="str">
        <x:f>IF(E16="","",IF(E16&gt;=5,"High",IF(E16&gt;=3,"Watch","OK")))</x:f>
      </x:c>
    </x:row>
    <x:row r="17">
      <x:c r="A17" s="17" t="str">
        <x:f>IF(Students!A17="","",Students!A17)</x:f>
      </x:c>
      <x:c r="B17" s="17" t="str">
        <x:f>IF(A17="","",Students!F17)</x:f>
      </x:c>
      <x:c r="C17" s="17" t="str">
        <x:f>IF(A17="","",Students!G17)</x:f>
      </x:c>
      <x:c r="D17" s="17" t="str">
        <x:f>IF(A17="","",Students!H17)</x:f>
      </x:c>
      <x:c r="E17" s="22" t="str">
        <x:f>IF(A17="","",COUNTIFS(Late_Transactions!E:E,A17,Late_Transactions!K:K,"Recorded"))</x:f>
      </x:c>
      <x:c r="F17" s="21" t="n">
        <x:f>IFERROR(MAXIFS(Late_Transactions!C:C,Late_Transactions!E:E,A17,Late_Transactions!K:K,"Recorded"),"")</x:f>
        <x:v>0</x:v>
      </x:c>
      <x:c r="G17" s="17" t="str">
        <x:f>IF(E17="","",IF(E17&gt;=5,"High",IF(E17&gt;=3,"Watch","OK")))</x:f>
      </x:c>
    </x:row>
    <x:row r="18">
      <x:c r="A18" s="17" t="str">
        <x:f>IF(Students!A18="","",Students!A18)</x:f>
      </x:c>
      <x:c r="B18" s="17" t="str">
        <x:f>IF(A18="","",Students!F18)</x:f>
      </x:c>
      <x:c r="C18" s="17" t="str">
        <x:f>IF(A18="","",Students!G18)</x:f>
      </x:c>
      <x:c r="D18" s="17" t="str">
        <x:f>IF(A18="","",Students!H18)</x:f>
      </x:c>
      <x:c r="E18" s="22" t="str">
        <x:f>IF(A18="","",COUNTIFS(Late_Transactions!E:E,A18,Late_Transactions!K:K,"Recorded"))</x:f>
      </x:c>
      <x:c r="F18" s="21" t="n">
        <x:f>IFERROR(MAXIFS(Late_Transactions!C:C,Late_Transactions!E:E,A18,Late_Transactions!K:K,"Recorded"),"")</x:f>
        <x:v>0</x:v>
      </x:c>
      <x:c r="G18" s="17" t="str">
        <x:f>IF(E18="","",IF(E18&gt;=5,"High",IF(E18&gt;=3,"Watch","OK")))</x:f>
      </x:c>
    </x:row>
    <x:row r="19">
      <x:c r="A19" s="17" t="str">
        <x:f>IF(Students!A19="","",Students!A19)</x:f>
      </x:c>
      <x:c r="B19" s="17" t="str">
        <x:f>IF(A19="","",Students!F19)</x:f>
      </x:c>
      <x:c r="C19" s="17" t="str">
        <x:f>IF(A19="","",Students!G19)</x:f>
      </x:c>
      <x:c r="D19" s="17" t="str">
        <x:f>IF(A19="","",Students!H19)</x:f>
      </x:c>
      <x:c r="E19" s="22" t="str">
        <x:f>IF(A19="","",COUNTIFS(Late_Transactions!E:E,A19,Late_Transactions!K:K,"Recorded"))</x:f>
      </x:c>
      <x:c r="F19" s="21" t="n">
        <x:f>IFERROR(MAXIFS(Late_Transactions!C:C,Late_Transactions!E:E,A19,Late_Transactions!K:K,"Recorded"),"")</x:f>
        <x:v>0</x:v>
      </x:c>
      <x:c r="G19" s="17" t="str">
        <x:f>IF(E19="","",IF(E19&gt;=5,"High",IF(E19&gt;=3,"Watch","OK")))</x:f>
      </x:c>
    </x:row>
    <x:row r="20">
      <x:c r="A20" s="17" t="str">
        <x:f>IF(Students!A20="","",Students!A20)</x:f>
      </x:c>
      <x:c r="B20" s="17" t="str">
        <x:f>IF(A20="","",Students!F20)</x:f>
      </x:c>
      <x:c r="C20" s="17" t="str">
        <x:f>IF(A20="","",Students!G20)</x:f>
      </x:c>
      <x:c r="D20" s="17" t="str">
        <x:f>IF(A20="","",Students!H20)</x:f>
      </x:c>
      <x:c r="E20" s="22" t="str">
        <x:f>IF(A20="","",COUNTIFS(Late_Transactions!E:E,A20,Late_Transactions!K:K,"Recorded"))</x:f>
      </x:c>
      <x:c r="F20" s="21" t="n">
        <x:f>IFERROR(MAXIFS(Late_Transactions!C:C,Late_Transactions!E:E,A20,Late_Transactions!K:K,"Recorded"),"")</x:f>
        <x:v>0</x:v>
      </x:c>
      <x:c r="G20" s="17" t="str">
        <x:f>IF(E20="","",IF(E20&gt;=5,"High",IF(E20&gt;=3,"Watch","OK")))</x:f>
      </x:c>
    </x:row>
    <x:row r="21">
      <x:c r="A21" s="17" t="str">
        <x:f>IF(Students!A21="","",Students!A21)</x:f>
      </x:c>
      <x:c r="B21" s="17" t="str">
        <x:f>IF(A21="","",Students!F21)</x:f>
      </x:c>
      <x:c r="C21" s="17" t="str">
        <x:f>IF(A21="","",Students!G21)</x:f>
      </x:c>
      <x:c r="D21" s="17" t="str">
        <x:f>IF(A21="","",Students!H21)</x:f>
      </x:c>
      <x:c r="E21" s="22" t="str">
        <x:f>IF(A21="","",COUNTIFS(Late_Transactions!E:E,A21,Late_Transactions!K:K,"Recorded"))</x:f>
      </x:c>
      <x:c r="F21" s="21" t="n">
        <x:f>IFERROR(MAXIFS(Late_Transactions!C:C,Late_Transactions!E:E,A21,Late_Transactions!K:K,"Recorded"),"")</x:f>
        <x:v>0</x:v>
      </x:c>
      <x:c r="G21" s="17" t="str">
        <x:f>IF(E21="","",IF(E21&gt;=5,"High",IF(E21&gt;=3,"Watch","OK")))</x:f>
      </x:c>
    </x:row>
    <x:row r="22">
      <x:c r="A22" s="17" t="str">
        <x:f>IF(Students!A22="","",Students!A22)</x:f>
      </x:c>
      <x:c r="B22" s="17" t="str">
        <x:f>IF(A22="","",Students!F22)</x:f>
      </x:c>
      <x:c r="C22" s="17" t="str">
        <x:f>IF(A22="","",Students!G22)</x:f>
      </x:c>
      <x:c r="D22" s="17" t="str">
        <x:f>IF(A22="","",Students!H22)</x:f>
      </x:c>
      <x:c r="E22" s="22" t="str">
        <x:f>IF(A22="","",COUNTIFS(Late_Transactions!E:E,A22,Late_Transactions!K:K,"Recorded"))</x:f>
      </x:c>
      <x:c r="F22" s="21" t="n">
        <x:f>IFERROR(MAXIFS(Late_Transactions!C:C,Late_Transactions!E:E,A22,Late_Transactions!K:K,"Recorded"),"")</x:f>
        <x:v>0</x:v>
      </x:c>
      <x:c r="G22" s="17" t="str">
        <x:f>IF(E22="","",IF(E22&gt;=5,"High",IF(E22&gt;=3,"Watch","OK")))</x:f>
      </x:c>
    </x:row>
    <x:row r="23">
      <x:c r="A23" s="17" t="str">
        <x:f>IF(Students!A23="","",Students!A23)</x:f>
      </x:c>
      <x:c r="B23" s="17" t="str">
        <x:f>IF(A23="","",Students!F23)</x:f>
      </x:c>
      <x:c r="C23" s="17" t="str">
        <x:f>IF(A23="","",Students!G23)</x:f>
      </x:c>
      <x:c r="D23" s="17" t="str">
        <x:f>IF(A23="","",Students!H23)</x:f>
      </x:c>
      <x:c r="E23" s="22" t="str">
        <x:f>IF(A23="","",COUNTIFS(Late_Transactions!E:E,A23,Late_Transactions!K:K,"Recorded"))</x:f>
      </x:c>
      <x:c r="F23" s="21" t="n">
        <x:f>IFERROR(MAXIFS(Late_Transactions!C:C,Late_Transactions!E:E,A23,Late_Transactions!K:K,"Recorded"),"")</x:f>
        <x:v>0</x:v>
      </x:c>
      <x:c r="G23" s="17" t="str">
        <x:f>IF(E23="","",IF(E23&gt;=5,"High",IF(E23&gt;=3,"Watch","OK")))</x:f>
      </x:c>
    </x:row>
    <x:row r="24">
      <x:c r="A24" s="17" t="str">
        <x:f>IF(Students!A24="","",Students!A24)</x:f>
      </x:c>
      <x:c r="B24" s="17" t="str">
        <x:f>IF(A24="","",Students!F24)</x:f>
      </x:c>
      <x:c r="C24" s="17" t="str">
        <x:f>IF(A24="","",Students!G24)</x:f>
      </x:c>
      <x:c r="D24" s="17" t="str">
        <x:f>IF(A24="","",Students!H24)</x:f>
      </x:c>
      <x:c r="E24" s="22" t="str">
        <x:f>IF(A24="","",COUNTIFS(Late_Transactions!E:E,A24,Late_Transactions!K:K,"Recorded"))</x:f>
      </x:c>
      <x:c r="F24" s="21" t="n">
        <x:f>IFERROR(MAXIFS(Late_Transactions!C:C,Late_Transactions!E:E,A24,Late_Transactions!K:K,"Recorded"),"")</x:f>
        <x:v>0</x:v>
      </x:c>
      <x:c r="G24" s="17" t="str">
        <x:f>IF(E24="","",IF(E24&gt;=5,"High",IF(E24&gt;=3,"Watch","OK")))</x:f>
      </x:c>
    </x:row>
    <x:row r="25">
      <x:c r="A25" s="17" t="str">
        <x:f>IF(Students!A25="","",Students!A25)</x:f>
      </x:c>
      <x:c r="B25" s="17" t="str">
        <x:f>IF(A25="","",Students!F25)</x:f>
      </x:c>
      <x:c r="C25" s="17" t="str">
        <x:f>IF(A25="","",Students!G25)</x:f>
      </x:c>
      <x:c r="D25" s="17" t="str">
        <x:f>IF(A25="","",Students!H25)</x:f>
      </x:c>
      <x:c r="E25" s="22" t="str">
        <x:f>IF(A25="","",COUNTIFS(Late_Transactions!E:E,A25,Late_Transactions!K:K,"Recorded"))</x:f>
      </x:c>
      <x:c r="F25" s="21" t="n">
        <x:f>IFERROR(MAXIFS(Late_Transactions!C:C,Late_Transactions!E:E,A25,Late_Transactions!K:K,"Recorded"),"")</x:f>
        <x:v>0</x:v>
      </x:c>
      <x:c r="G25" s="17" t="str">
        <x:f>IF(E25="","",IF(E25&gt;=5,"High",IF(E25&gt;=3,"Watch","OK")))</x:f>
      </x:c>
    </x:row>
    <x:row r="26">
      <x:c r="A26" s="17" t="str">
        <x:f>IF(Students!A26="","",Students!A26)</x:f>
      </x:c>
      <x:c r="B26" s="17" t="str">
        <x:f>IF(A26="","",Students!F26)</x:f>
      </x:c>
      <x:c r="C26" s="17" t="str">
        <x:f>IF(A26="","",Students!G26)</x:f>
      </x:c>
      <x:c r="D26" s="17" t="str">
        <x:f>IF(A26="","",Students!H26)</x:f>
      </x:c>
      <x:c r="E26" s="22" t="str">
        <x:f>IF(A26="","",COUNTIFS(Late_Transactions!E:E,A26,Late_Transactions!K:K,"Recorded"))</x:f>
      </x:c>
      <x:c r="F26" s="21" t="n">
        <x:f>IFERROR(MAXIFS(Late_Transactions!C:C,Late_Transactions!E:E,A26,Late_Transactions!K:K,"Recorded"),"")</x:f>
        <x:v>0</x:v>
      </x:c>
      <x:c r="G26" s="17" t="str">
        <x:f>IF(E26="","",IF(E26&gt;=5,"High",IF(E26&gt;=3,"Watch","OK")))</x:f>
      </x:c>
    </x:row>
    <x:row r="27">
      <x:c r="A27" s="17" t="str">
        <x:f>IF(Students!A27="","",Students!A27)</x:f>
      </x:c>
      <x:c r="B27" s="17" t="str">
        <x:f>IF(A27="","",Students!F27)</x:f>
      </x:c>
      <x:c r="C27" s="17" t="str">
        <x:f>IF(A27="","",Students!G27)</x:f>
      </x:c>
      <x:c r="D27" s="17" t="str">
        <x:f>IF(A27="","",Students!H27)</x:f>
      </x:c>
      <x:c r="E27" s="22" t="str">
        <x:f>IF(A27="","",COUNTIFS(Late_Transactions!E:E,A27,Late_Transactions!K:K,"Recorded"))</x:f>
      </x:c>
      <x:c r="F27" s="21" t="n">
        <x:f>IFERROR(MAXIFS(Late_Transactions!C:C,Late_Transactions!E:E,A27,Late_Transactions!K:K,"Recorded"),"")</x:f>
        <x:v>0</x:v>
      </x:c>
      <x:c r="G27" s="17" t="str">
        <x:f>IF(E27="","",IF(E27&gt;=5,"High",IF(E27&gt;=3,"Watch","OK")))</x:f>
      </x:c>
    </x:row>
    <x:row r="28">
      <x:c r="A28" s="17" t="str">
        <x:f>IF(Students!A28="","",Students!A28)</x:f>
      </x:c>
      <x:c r="B28" s="17" t="str">
        <x:f>IF(A28="","",Students!F28)</x:f>
      </x:c>
      <x:c r="C28" s="17" t="str">
        <x:f>IF(A28="","",Students!G28)</x:f>
      </x:c>
      <x:c r="D28" s="17" t="str">
        <x:f>IF(A28="","",Students!H28)</x:f>
      </x:c>
      <x:c r="E28" s="22" t="str">
        <x:f>IF(A28="","",COUNTIFS(Late_Transactions!E:E,A28,Late_Transactions!K:K,"Recorded"))</x:f>
      </x:c>
      <x:c r="F28" s="21" t="n">
        <x:f>IFERROR(MAXIFS(Late_Transactions!C:C,Late_Transactions!E:E,A28,Late_Transactions!K:K,"Recorded"),"")</x:f>
        <x:v>0</x:v>
      </x:c>
      <x:c r="G28" s="17" t="str">
        <x:f>IF(E28="","",IF(E28&gt;=5,"High",IF(E28&gt;=3,"Watch","OK")))</x:f>
      </x:c>
    </x:row>
    <x:row r="29">
      <x:c r="A29" s="17" t="str">
        <x:f>IF(Students!A29="","",Students!A29)</x:f>
      </x:c>
      <x:c r="B29" s="17" t="str">
        <x:f>IF(A29="","",Students!F29)</x:f>
      </x:c>
      <x:c r="C29" s="17" t="str">
        <x:f>IF(A29="","",Students!G29)</x:f>
      </x:c>
      <x:c r="D29" s="17" t="str">
        <x:f>IF(A29="","",Students!H29)</x:f>
      </x:c>
      <x:c r="E29" s="22" t="str">
        <x:f>IF(A29="","",COUNTIFS(Late_Transactions!E:E,A29,Late_Transactions!K:K,"Recorded"))</x:f>
      </x:c>
      <x:c r="F29" s="21" t="n">
        <x:f>IFERROR(MAXIFS(Late_Transactions!C:C,Late_Transactions!E:E,A29,Late_Transactions!K:K,"Recorded"),"")</x:f>
        <x:v>0</x:v>
      </x:c>
      <x:c r="G29" s="17" t="str">
        <x:f>IF(E29="","",IF(E29&gt;=5,"High",IF(E29&gt;=3,"Watch","OK")))</x:f>
      </x:c>
    </x:row>
    <x:row r="30">
      <x:c r="A30" s="17" t="str">
        <x:f>IF(Students!A30="","",Students!A30)</x:f>
      </x:c>
      <x:c r="B30" s="17" t="str">
        <x:f>IF(A30="","",Students!F30)</x:f>
      </x:c>
      <x:c r="C30" s="17" t="str">
        <x:f>IF(A30="","",Students!G30)</x:f>
      </x:c>
      <x:c r="D30" s="17" t="str">
        <x:f>IF(A30="","",Students!H30)</x:f>
      </x:c>
      <x:c r="E30" s="22" t="str">
        <x:f>IF(A30="","",COUNTIFS(Late_Transactions!E:E,A30,Late_Transactions!K:K,"Recorded"))</x:f>
      </x:c>
      <x:c r="F30" s="21" t="n">
        <x:f>IFERROR(MAXIFS(Late_Transactions!C:C,Late_Transactions!E:E,A30,Late_Transactions!K:K,"Recorded"),"")</x:f>
        <x:v>0</x:v>
      </x:c>
      <x:c r="G30" s="17" t="str">
        <x:f>IF(E30="","",IF(E30&gt;=5,"High",IF(E30&gt;=3,"Watch","OK")))</x:f>
      </x:c>
    </x:row>
    <x:row r="31">
      <x:c r="A31" s="17" t="str">
        <x:f>IF(Students!A31="","",Students!A31)</x:f>
      </x:c>
      <x:c r="B31" s="17" t="str">
        <x:f>IF(A31="","",Students!F31)</x:f>
      </x:c>
      <x:c r="C31" s="17" t="str">
        <x:f>IF(A31="","",Students!G31)</x:f>
      </x:c>
      <x:c r="D31" s="17" t="str">
        <x:f>IF(A31="","",Students!H31)</x:f>
      </x:c>
      <x:c r="E31" s="22" t="str">
        <x:f>IF(A31="","",COUNTIFS(Late_Transactions!E:E,A31,Late_Transactions!K:K,"Recorded"))</x:f>
      </x:c>
      <x:c r="F31" s="21" t="n">
        <x:f>IFERROR(MAXIFS(Late_Transactions!C:C,Late_Transactions!E:E,A31,Late_Transactions!K:K,"Recorded"),"")</x:f>
        <x:v>0</x:v>
      </x:c>
      <x:c r="G31" s="17" t="str">
        <x:f>IF(E31="","",IF(E31&gt;=5,"High",IF(E31&gt;=3,"Watch","OK")))</x:f>
      </x:c>
    </x:row>
    <x:row r="32">
      <x:c r="A32" s="17" t="str">
        <x:f>IF(Students!A32="","",Students!A32)</x:f>
      </x:c>
      <x:c r="B32" s="17" t="str">
        <x:f>IF(A32="","",Students!F32)</x:f>
      </x:c>
      <x:c r="C32" s="17" t="str">
        <x:f>IF(A32="","",Students!G32)</x:f>
      </x:c>
      <x:c r="D32" s="17" t="str">
        <x:f>IF(A32="","",Students!H32)</x:f>
      </x:c>
      <x:c r="E32" s="22" t="str">
        <x:f>IF(A32="","",COUNTIFS(Late_Transactions!E:E,A32,Late_Transactions!K:K,"Recorded"))</x:f>
      </x:c>
      <x:c r="F32" s="21" t="n">
        <x:f>IFERROR(MAXIFS(Late_Transactions!C:C,Late_Transactions!E:E,A32,Late_Transactions!K:K,"Recorded"),"")</x:f>
        <x:v>0</x:v>
      </x:c>
      <x:c r="G32" s="17" t="str">
        <x:f>IF(E32="","",IF(E32&gt;=5,"High",IF(E32&gt;=3,"Watch","OK")))</x:f>
      </x:c>
    </x:row>
    <x:row r="33">
      <x:c r="A33" s="17" t="str">
        <x:f>IF(Students!A33="","",Students!A33)</x:f>
      </x:c>
      <x:c r="B33" s="17" t="str">
        <x:f>IF(A33="","",Students!F33)</x:f>
      </x:c>
      <x:c r="C33" s="17" t="str">
        <x:f>IF(A33="","",Students!G33)</x:f>
      </x:c>
      <x:c r="D33" s="17" t="str">
        <x:f>IF(A33="","",Students!H33)</x:f>
      </x:c>
      <x:c r="E33" s="22" t="str">
        <x:f>IF(A33="","",COUNTIFS(Late_Transactions!E:E,A33,Late_Transactions!K:K,"Recorded"))</x:f>
      </x:c>
      <x:c r="F33" s="21" t="n">
        <x:f>IFERROR(MAXIFS(Late_Transactions!C:C,Late_Transactions!E:E,A33,Late_Transactions!K:K,"Recorded"),"")</x:f>
        <x:v>0</x:v>
      </x:c>
      <x:c r="G33" s="17" t="str">
        <x:f>IF(E33="","",IF(E33&gt;=5,"High",IF(E33&gt;=3,"Watch","OK")))</x:f>
      </x:c>
    </x:row>
    <x:row r="34">
      <x:c r="A34" s="17" t="str">
        <x:f>IF(Students!A34="","",Students!A34)</x:f>
      </x:c>
      <x:c r="B34" s="17" t="str">
        <x:f>IF(A34="","",Students!F34)</x:f>
      </x:c>
      <x:c r="C34" s="17" t="str">
        <x:f>IF(A34="","",Students!G34)</x:f>
      </x:c>
      <x:c r="D34" s="17" t="str">
        <x:f>IF(A34="","",Students!H34)</x:f>
      </x:c>
      <x:c r="E34" s="22" t="str">
        <x:f>IF(A34="","",COUNTIFS(Late_Transactions!E:E,A34,Late_Transactions!K:K,"Recorded"))</x:f>
      </x:c>
      <x:c r="F34" s="21" t="n">
        <x:f>IFERROR(MAXIFS(Late_Transactions!C:C,Late_Transactions!E:E,A34,Late_Transactions!K:K,"Recorded"),"")</x:f>
        <x:v>0</x:v>
      </x:c>
      <x:c r="G34" s="17" t="str">
        <x:f>IF(E34="","",IF(E34&gt;=5,"High",IF(E34&gt;=3,"Watch","OK")))</x:f>
      </x:c>
    </x:row>
    <x:row r="35">
      <x:c r="A35" s="17" t="str">
        <x:f>IF(Students!A35="","",Students!A35)</x:f>
      </x:c>
      <x:c r="B35" s="17" t="str">
        <x:f>IF(A35="","",Students!F35)</x:f>
      </x:c>
      <x:c r="C35" s="17" t="str">
        <x:f>IF(A35="","",Students!G35)</x:f>
      </x:c>
      <x:c r="D35" s="17" t="str">
        <x:f>IF(A35="","",Students!H35)</x:f>
      </x:c>
      <x:c r="E35" s="22" t="str">
        <x:f>IF(A35="","",COUNTIFS(Late_Transactions!E:E,A35,Late_Transactions!K:K,"Recorded"))</x:f>
      </x:c>
      <x:c r="F35" s="21" t="n">
        <x:f>IFERROR(MAXIFS(Late_Transactions!C:C,Late_Transactions!E:E,A35,Late_Transactions!K:K,"Recorded"),"")</x:f>
        <x:v>0</x:v>
      </x:c>
      <x:c r="G35" s="17" t="str">
        <x:f>IF(E35="","",IF(E35&gt;=5,"High",IF(E35&gt;=3,"Watch","OK")))</x:f>
      </x:c>
    </x:row>
    <x:row r="36">
      <x:c r="A36" s="17" t="str">
        <x:f>IF(Students!A36="","",Students!A36)</x:f>
      </x:c>
      <x:c r="B36" s="17" t="str">
        <x:f>IF(A36="","",Students!F36)</x:f>
      </x:c>
      <x:c r="C36" s="17" t="str">
        <x:f>IF(A36="","",Students!G36)</x:f>
      </x:c>
      <x:c r="D36" s="17" t="str">
        <x:f>IF(A36="","",Students!H36)</x:f>
      </x:c>
      <x:c r="E36" s="22" t="str">
        <x:f>IF(A36="","",COUNTIFS(Late_Transactions!E:E,A36,Late_Transactions!K:K,"Recorded"))</x:f>
      </x:c>
      <x:c r="F36" s="21" t="n">
        <x:f>IFERROR(MAXIFS(Late_Transactions!C:C,Late_Transactions!E:E,A36,Late_Transactions!K:K,"Recorded"),"")</x:f>
        <x:v>0</x:v>
      </x:c>
      <x:c r="G36" s="17" t="str">
        <x:f>IF(E36="","",IF(E36&gt;=5,"High",IF(E36&gt;=3,"Watch","OK")))</x:f>
      </x:c>
    </x:row>
    <x:row r="37">
      <x:c r="A37" s="17" t="str">
        <x:f>IF(Students!A37="","",Students!A37)</x:f>
      </x:c>
      <x:c r="B37" s="17" t="str">
        <x:f>IF(A37="","",Students!F37)</x:f>
      </x:c>
      <x:c r="C37" s="17" t="str">
        <x:f>IF(A37="","",Students!G37)</x:f>
      </x:c>
      <x:c r="D37" s="17" t="str">
        <x:f>IF(A37="","",Students!H37)</x:f>
      </x:c>
      <x:c r="E37" s="22" t="str">
        <x:f>IF(A37="","",COUNTIFS(Late_Transactions!E:E,A37,Late_Transactions!K:K,"Recorded"))</x:f>
      </x:c>
      <x:c r="F37" s="21" t="n">
        <x:f>IFERROR(MAXIFS(Late_Transactions!C:C,Late_Transactions!E:E,A37,Late_Transactions!K:K,"Recorded"),"")</x:f>
        <x:v>0</x:v>
      </x:c>
      <x:c r="G37" s="17" t="str">
        <x:f>IF(E37="","",IF(E37&gt;=5,"High",IF(E37&gt;=3,"Watch","OK")))</x:f>
      </x:c>
    </x:row>
    <x:row r="38">
      <x:c r="A38" s="17" t="str">
        <x:f>IF(Students!A38="","",Students!A38)</x:f>
      </x:c>
      <x:c r="B38" s="17" t="str">
        <x:f>IF(A38="","",Students!F38)</x:f>
      </x:c>
      <x:c r="C38" s="17" t="str">
        <x:f>IF(A38="","",Students!G38)</x:f>
      </x:c>
      <x:c r="D38" s="17" t="str">
        <x:f>IF(A38="","",Students!H38)</x:f>
      </x:c>
      <x:c r="E38" s="22" t="str">
        <x:f>IF(A38="","",COUNTIFS(Late_Transactions!E:E,A38,Late_Transactions!K:K,"Recorded"))</x:f>
      </x:c>
      <x:c r="F38" s="21" t="n">
        <x:f>IFERROR(MAXIFS(Late_Transactions!C:C,Late_Transactions!E:E,A38,Late_Transactions!K:K,"Recorded"),"")</x:f>
        <x:v>0</x:v>
      </x:c>
      <x:c r="G38" s="17" t="str">
        <x:f>IF(E38="","",IF(E38&gt;=5,"High",IF(E38&gt;=3,"Watch","OK")))</x:f>
      </x:c>
    </x:row>
    <x:row r="39">
      <x:c r="A39" s="17" t="str">
        <x:f>IF(Students!A39="","",Students!A39)</x:f>
      </x:c>
      <x:c r="B39" s="17" t="str">
        <x:f>IF(A39="","",Students!F39)</x:f>
      </x:c>
      <x:c r="C39" s="17" t="str">
        <x:f>IF(A39="","",Students!G39)</x:f>
      </x:c>
      <x:c r="D39" s="17" t="str">
        <x:f>IF(A39="","",Students!H39)</x:f>
      </x:c>
      <x:c r="E39" s="22" t="str">
        <x:f>IF(A39="","",COUNTIFS(Late_Transactions!E:E,A39,Late_Transactions!K:K,"Recorded"))</x:f>
      </x:c>
      <x:c r="F39" s="21" t="n">
        <x:f>IFERROR(MAXIFS(Late_Transactions!C:C,Late_Transactions!E:E,A39,Late_Transactions!K:K,"Recorded"),"")</x:f>
        <x:v>0</x:v>
      </x:c>
      <x:c r="G39" s="17" t="str">
        <x:f>IF(E39="","",IF(E39&gt;=5,"High",IF(E39&gt;=3,"Watch","OK")))</x:f>
      </x:c>
    </x:row>
    <x:row r="40">
      <x:c r="A40" s="17" t="str">
        <x:f>IF(Students!A40="","",Students!A40)</x:f>
      </x:c>
      <x:c r="B40" s="17" t="str">
        <x:f>IF(A40="","",Students!F40)</x:f>
      </x:c>
      <x:c r="C40" s="17" t="str">
        <x:f>IF(A40="","",Students!G40)</x:f>
      </x:c>
      <x:c r="D40" s="17" t="str">
        <x:f>IF(A40="","",Students!H40)</x:f>
      </x:c>
      <x:c r="E40" s="22" t="str">
        <x:f>IF(A40="","",COUNTIFS(Late_Transactions!E:E,A40,Late_Transactions!K:K,"Recorded"))</x:f>
      </x:c>
      <x:c r="F40" s="21" t="n">
        <x:f>IFERROR(MAXIFS(Late_Transactions!C:C,Late_Transactions!E:E,A40,Late_Transactions!K:K,"Recorded"),"")</x:f>
        <x:v>0</x:v>
      </x:c>
      <x:c r="G40" s="17" t="str">
        <x:f>IF(E40="","",IF(E40&gt;=5,"High",IF(E40&gt;=3,"Watch","OK")))</x:f>
      </x:c>
    </x:row>
    <x:row r="41">
      <x:c r="A41" s="17" t="str">
        <x:f>IF(Students!A41="","",Students!A41)</x:f>
      </x:c>
      <x:c r="B41" s="17" t="str">
        <x:f>IF(A41="","",Students!F41)</x:f>
      </x:c>
      <x:c r="C41" s="17" t="str">
        <x:f>IF(A41="","",Students!G41)</x:f>
      </x:c>
      <x:c r="D41" s="17" t="str">
        <x:f>IF(A41="","",Students!H41)</x:f>
      </x:c>
      <x:c r="E41" s="22" t="str">
        <x:f>IF(A41="","",COUNTIFS(Late_Transactions!E:E,A41,Late_Transactions!K:K,"Recorded"))</x:f>
      </x:c>
      <x:c r="F41" s="21" t="n">
        <x:f>IFERROR(MAXIFS(Late_Transactions!C:C,Late_Transactions!E:E,A41,Late_Transactions!K:K,"Recorded"),"")</x:f>
        <x:v>0</x:v>
      </x:c>
      <x:c r="G41" s="17" t="str">
        <x:f>IF(E41="","",IF(E41&gt;=5,"High",IF(E41&gt;=3,"Watch","OK")))</x:f>
      </x:c>
    </x:row>
    <x:row r="42">
      <x:c r="A42" s="17" t="str">
        <x:f>IF(Students!A42="","",Students!A42)</x:f>
      </x:c>
      <x:c r="B42" s="17" t="str">
        <x:f>IF(A42="","",Students!F42)</x:f>
      </x:c>
      <x:c r="C42" s="17" t="str">
        <x:f>IF(A42="","",Students!G42)</x:f>
      </x:c>
      <x:c r="D42" s="17" t="str">
        <x:f>IF(A42="","",Students!H42)</x:f>
      </x:c>
      <x:c r="E42" s="22" t="str">
        <x:f>IF(A42="","",COUNTIFS(Late_Transactions!E:E,A42,Late_Transactions!K:K,"Recorded"))</x:f>
      </x:c>
      <x:c r="F42" s="21" t="n">
        <x:f>IFERROR(MAXIFS(Late_Transactions!C:C,Late_Transactions!E:E,A42,Late_Transactions!K:K,"Recorded"),"")</x:f>
        <x:v>0</x:v>
      </x:c>
      <x:c r="G42" s="17" t="str">
        <x:f>IF(E42="","",IF(E42&gt;=5,"High",IF(E42&gt;=3,"Watch","OK")))</x:f>
      </x:c>
    </x:row>
    <x:row r="43">
      <x:c r="A43" s="17" t="str">
        <x:f>IF(Students!A43="","",Students!A43)</x:f>
      </x:c>
      <x:c r="B43" s="17" t="str">
        <x:f>IF(A43="","",Students!F43)</x:f>
      </x:c>
      <x:c r="C43" s="17" t="str">
        <x:f>IF(A43="","",Students!G43)</x:f>
      </x:c>
      <x:c r="D43" s="17" t="str">
        <x:f>IF(A43="","",Students!H43)</x:f>
      </x:c>
      <x:c r="E43" s="22" t="str">
        <x:f>IF(A43="","",COUNTIFS(Late_Transactions!E:E,A43,Late_Transactions!K:K,"Recorded"))</x:f>
      </x:c>
      <x:c r="F43" s="21" t="n">
        <x:f>IFERROR(MAXIFS(Late_Transactions!C:C,Late_Transactions!E:E,A43,Late_Transactions!K:K,"Recorded"),"")</x:f>
        <x:v>0</x:v>
      </x:c>
      <x:c r="G43" s="17" t="str">
        <x:f>IF(E43="","",IF(E43&gt;=5,"High",IF(E43&gt;=3,"Watch","OK")))</x:f>
      </x:c>
    </x:row>
    <x:row r="44">
      <x:c r="A44" s="17" t="str">
        <x:f>IF(Students!A44="","",Students!A44)</x:f>
      </x:c>
      <x:c r="B44" s="17" t="str">
        <x:f>IF(A44="","",Students!F44)</x:f>
      </x:c>
      <x:c r="C44" s="17" t="str">
        <x:f>IF(A44="","",Students!G44)</x:f>
      </x:c>
      <x:c r="D44" s="17" t="str">
        <x:f>IF(A44="","",Students!H44)</x:f>
      </x:c>
      <x:c r="E44" s="22" t="str">
        <x:f>IF(A44="","",COUNTIFS(Late_Transactions!E:E,A44,Late_Transactions!K:K,"Recorded"))</x:f>
      </x:c>
      <x:c r="F44" s="21" t="n">
        <x:f>IFERROR(MAXIFS(Late_Transactions!C:C,Late_Transactions!E:E,A44,Late_Transactions!K:K,"Recorded"),"")</x:f>
        <x:v>0</x:v>
      </x:c>
      <x:c r="G44" s="17" t="str">
        <x:f>IF(E44="","",IF(E44&gt;=5,"High",IF(E44&gt;=3,"Watch","OK")))</x:f>
      </x:c>
    </x:row>
    <x:row r="45">
      <x:c r="A45" s="17" t="str">
        <x:f>IF(Students!A45="","",Students!A45)</x:f>
      </x:c>
      <x:c r="B45" s="17" t="str">
        <x:f>IF(A45="","",Students!F45)</x:f>
      </x:c>
      <x:c r="C45" s="17" t="str">
        <x:f>IF(A45="","",Students!G45)</x:f>
      </x:c>
      <x:c r="D45" s="17" t="str">
        <x:f>IF(A45="","",Students!H45)</x:f>
      </x:c>
      <x:c r="E45" s="22" t="str">
        <x:f>IF(A45="","",COUNTIFS(Late_Transactions!E:E,A45,Late_Transactions!K:K,"Recorded"))</x:f>
      </x:c>
      <x:c r="F45" s="21" t="n">
        <x:f>IFERROR(MAXIFS(Late_Transactions!C:C,Late_Transactions!E:E,A45,Late_Transactions!K:K,"Recorded"),"")</x:f>
        <x:v>0</x:v>
      </x:c>
      <x:c r="G45" s="17" t="str">
        <x:f>IF(E45="","",IF(E45&gt;=5,"High",IF(E45&gt;=3,"Watch","OK")))</x:f>
      </x:c>
    </x:row>
    <x:row r="46">
      <x:c r="A46" s="17" t="str">
        <x:f>IF(Students!A46="","",Students!A46)</x:f>
      </x:c>
      <x:c r="B46" s="17" t="str">
        <x:f>IF(A46="","",Students!F46)</x:f>
      </x:c>
      <x:c r="C46" s="17" t="str">
        <x:f>IF(A46="","",Students!G46)</x:f>
      </x:c>
      <x:c r="D46" s="17" t="str">
        <x:f>IF(A46="","",Students!H46)</x:f>
      </x:c>
      <x:c r="E46" s="22" t="str">
        <x:f>IF(A46="","",COUNTIFS(Late_Transactions!E:E,A46,Late_Transactions!K:K,"Recorded"))</x:f>
      </x:c>
      <x:c r="F46" s="21" t="n">
        <x:f>IFERROR(MAXIFS(Late_Transactions!C:C,Late_Transactions!E:E,A46,Late_Transactions!K:K,"Recorded"),"")</x:f>
        <x:v>0</x:v>
      </x:c>
      <x:c r="G46" s="17" t="str">
        <x:f>IF(E46="","",IF(E46&gt;=5,"High",IF(E46&gt;=3,"Watch","OK")))</x:f>
      </x:c>
    </x:row>
    <x:row r="47">
      <x:c r="A47" s="17" t="str">
        <x:f>IF(Students!A47="","",Students!A47)</x:f>
      </x:c>
      <x:c r="B47" s="17" t="str">
        <x:f>IF(A47="","",Students!F47)</x:f>
      </x:c>
      <x:c r="C47" s="17" t="str">
        <x:f>IF(A47="","",Students!G47)</x:f>
      </x:c>
      <x:c r="D47" s="17" t="str">
        <x:f>IF(A47="","",Students!H47)</x:f>
      </x:c>
      <x:c r="E47" s="22" t="str">
        <x:f>IF(A47="","",COUNTIFS(Late_Transactions!E:E,A47,Late_Transactions!K:K,"Recorded"))</x:f>
      </x:c>
      <x:c r="F47" s="21" t="n">
        <x:f>IFERROR(MAXIFS(Late_Transactions!C:C,Late_Transactions!E:E,A47,Late_Transactions!K:K,"Recorded"),"")</x:f>
        <x:v>0</x:v>
      </x:c>
      <x:c r="G47" s="17" t="str">
        <x:f>IF(E47="","",IF(E47&gt;=5,"High",IF(E47&gt;=3,"Watch","OK")))</x:f>
      </x:c>
    </x:row>
    <x:row r="48">
      <x:c r="A48" s="17" t="str">
        <x:f>IF(Students!A48="","",Students!A48)</x:f>
      </x:c>
      <x:c r="B48" s="17" t="str">
        <x:f>IF(A48="","",Students!F48)</x:f>
      </x:c>
      <x:c r="C48" s="17" t="str">
        <x:f>IF(A48="","",Students!G48)</x:f>
      </x:c>
      <x:c r="D48" s="17" t="str">
        <x:f>IF(A48="","",Students!H48)</x:f>
      </x:c>
      <x:c r="E48" s="22" t="str">
        <x:f>IF(A48="","",COUNTIFS(Late_Transactions!E:E,A48,Late_Transactions!K:K,"Recorded"))</x:f>
      </x:c>
      <x:c r="F48" s="21" t="n">
        <x:f>IFERROR(MAXIFS(Late_Transactions!C:C,Late_Transactions!E:E,A48,Late_Transactions!K:K,"Recorded"),"")</x:f>
        <x:v>0</x:v>
      </x:c>
      <x:c r="G48" s="17" t="str">
        <x:f>IF(E48="","",IF(E48&gt;=5,"High",IF(E48&gt;=3,"Watch","OK")))</x:f>
      </x:c>
    </x:row>
    <x:row r="49">
      <x:c r="A49" s="17" t="str">
        <x:f>IF(Students!A49="","",Students!A49)</x:f>
      </x:c>
      <x:c r="B49" s="17" t="str">
        <x:f>IF(A49="","",Students!F49)</x:f>
      </x:c>
      <x:c r="C49" s="17" t="str">
        <x:f>IF(A49="","",Students!G49)</x:f>
      </x:c>
      <x:c r="D49" s="17" t="str">
        <x:f>IF(A49="","",Students!H49)</x:f>
      </x:c>
      <x:c r="E49" s="22" t="str">
        <x:f>IF(A49="","",COUNTIFS(Late_Transactions!E:E,A49,Late_Transactions!K:K,"Recorded"))</x:f>
      </x:c>
      <x:c r="F49" s="21" t="n">
        <x:f>IFERROR(MAXIFS(Late_Transactions!C:C,Late_Transactions!E:E,A49,Late_Transactions!K:K,"Recorded"),"")</x:f>
        <x:v>0</x:v>
      </x:c>
      <x:c r="G49" s="17" t="str">
        <x:f>IF(E49="","",IF(E49&gt;=5,"High",IF(E49&gt;=3,"Watch","OK")))</x:f>
      </x:c>
    </x:row>
    <x:row r="50">
      <x:c r="A50" s="17" t="str">
        <x:f>IF(Students!A50="","",Students!A50)</x:f>
      </x:c>
      <x:c r="B50" s="17" t="str">
        <x:f>IF(A50="","",Students!F50)</x:f>
      </x:c>
      <x:c r="C50" s="17" t="str">
        <x:f>IF(A50="","",Students!G50)</x:f>
      </x:c>
      <x:c r="D50" s="17" t="str">
        <x:f>IF(A50="","",Students!H50)</x:f>
      </x:c>
      <x:c r="E50" s="22" t="str">
        <x:f>IF(A50="","",COUNTIFS(Late_Transactions!E:E,A50,Late_Transactions!K:K,"Recorded"))</x:f>
      </x:c>
      <x:c r="F50" s="21" t="n">
        <x:f>IFERROR(MAXIFS(Late_Transactions!C:C,Late_Transactions!E:E,A50,Late_Transactions!K:K,"Recorded"),"")</x:f>
        <x:v>0</x:v>
      </x:c>
      <x:c r="G50" s="17" t="str">
        <x:f>IF(E50="","",IF(E50&gt;=5,"High",IF(E50&gt;=3,"Watch","OK")))</x:f>
      </x:c>
    </x:row>
    <x:row r="51">
      <x:c r="A51" s="17" t="str">
        <x:f>IF(Students!A51="","",Students!A51)</x:f>
      </x:c>
      <x:c r="B51" s="17" t="str">
        <x:f>IF(A51="","",Students!F51)</x:f>
      </x:c>
      <x:c r="C51" s="17" t="str">
        <x:f>IF(A51="","",Students!G51)</x:f>
      </x:c>
      <x:c r="D51" s="17" t="str">
        <x:f>IF(A51="","",Students!H51)</x:f>
      </x:c>
      <x:c r="E51" s="22" t="str">
        <x:f>IF(A51="","",COUNTIFS(Late_Transactions!E:E,A51,Late_Transactions!K:K,"Recorded"))</x:f>
      </x:c>
      <x:c r="F51" s="21" t="n">
        <x:f>IFERROR(MAXIFS(Late_Transactions!C:C,Late_Transactions!E:E,A51,Late_Transactions!K:K,"Recorded"),"")</x:f>
        <x:v>0</x:v>
      </x:c>
      <x:c r="G51" s="17" t="str">
        <x:f>IF(E51="","",IF(E51&gt;=5,"High",IF(E51&gt;=3,"Watch","OK")))</x:f>
      </x:c>
    </x:row>
    <x:row r="52">
      <x:c r="A52" s="17" t="str">
        <x:f>IF(Students!A52="","",Students!A52)</x:f>
      </x:c>
      <x:c r="B52" s="17" t="str">
        <x:f>IF(A52="","",Students!F52)</x:f>
      </x:c>
      <x:c r="C52" s="17" t="str">
        <x:f>IF(A52="","",Students!G52)</x:f>
      </x:c>
      <x:c r="D52" s="17" t="str">
        <x:f>IF(A52="","",Students!H52)</x:f>
      </x:c>
      <x:c r="E52" s="22" t="str">
        <x:f>IF(A52="","",COUNTIFS(Late_Transactions!E:E,A52,Late_Transactions!K:K,"Recorded"))</x:f>
      </x:c>
      <x:c r="F52" s="21" t="n">
        <x:f>IFERROR(MAXIFS(Late_Transactions!C:C,Late_Transactions!E:E,A52,Late_Transactions!K:K,"Recorded"),"")</x:f>
        <x:v>0</x:v>
      </x:c>
      <x:c r="G52" s="17" t="str">
        <x:f>IF(E52="","",IF(E52&gt;=5,"High",IF(E52&gt;=3,"Watch","OK")))</x:f>
      </x:c>
    </x:row>
    <x:row r="53">
      <x:c r="A53" s="17" t="str">
        <x:f>IF(Students!A53="","",Students!A53)</x:f>
      </x:c>
      <x:c r="B53" s="17" t="str">
        <x:f>IF(A53="","",Students!F53)</x:f>
      </x:c>
      <x:c r="C53" s="17" t="str">
        <x:f>IF(A53="","",Students!G53)</x:f>
      </x:c>
      <x:c r="D53" s="17" t="str">
        <x:f>IF(A53="","",Students!H53)</x:f>
      </x:c>
      <x:c r="E53" s="22" t="str">
        <x:f>IF(A53="","",COUNTIFS(Late_Transactions!E:E,A53,Late_Transactions!K:K,"Recorded"))</x:f>
      </x:c>
      <x:c r="F53" s="21" t="n">
        <x:f>IFERROR(MAXIFS(Late_Transactions!C:C,Late_Transactions!E:E,A53,Late_Transactions!K:K,"Recorded"),"")</x:f>
        <x:v>0</x:v>
      </x:c>
      <x:c r="G53" s="17" t="str">
        <x:f>IF(E53="","",IF(E53&gt;=5,"High",IF(E53&gt;=3,"Watch","OK")))</x:f>
      </x:c>
    </x:row>
    <x:row r="54">
      <x:c r="A54" s="17" t="str">
        <x:f>IF(Students!A54="","",Students!A54)</x:f>
      </x:c>
      <x:c r="B54" s="17" t="str">
        <x:f>IF(A54="","",Students!F54)</x:f>
      </x:c>
      <x:c r="C54" s="17" t="str">
        <x:f>IF(A54="","",Students!G54)</x:f>
      </x:c>
      <x:c r="D54" s="17" t="str">
        <x:f>IF(A54="","",Students!H54)</x:f>
      </x:c>
      <x:c r="E54" s="22" t="str">
        <x:f>IF(A54="","",COUNTIFS(Late_Transactions!E:E,A54,Late_Transactions!K:K,"Recorded"))</x:f>
      </x:c>
      <x:c r="F54" s="21" t="n">
        <x:f>IFERROR(MAXIFS(Late_Transactions!C:C,Late_Transactions!E:E,A54,Late_Transactions!K:K,"Recorded"),"")</x:f>
        <x:v>0</x:v>
      </x:c>
      <x:c r="G54" s="17" t="str">
        <x:f>IF(E54="","",IF(E54&gt;=5,"High",IF(E54&gt;=3,"Watch","OK")))</x:f>
      </x:c>
    </x:row>
    <x:row r="55">
      <x:c r="A55" s="17" t="str">
        <x:f>IF(Students!A55="","",Students!A55)</x:f>
      </x:c>
      <x:c r="B55" s="17" t="str">
        <x:f>IF(A55="","",Students!F55)</x:f>
      </x:c>
      <x:c r="C55" s="17" t="str">
        <x:f>IF(A55="","",Students!G55)</x:f>
      </x:c>
      <x:c r="D55" s="17" t="str">
        <x:f>IF(A55="","",Students!H55)</x:f>
      </x:c>
      <x:c r="E55" s="22" t="str">
        <x:f>IF(A55="","",COUNTIFS(Late_Transactions!E:E,A55,Late_Transactions!K:K,"Recorded"))</x:f>
      </x:c>
      <x:c r="F55" s="21" t="n">
        <x:f>IFERROR(MAXIFS(Late_Transactions!C:C,Late_Transactions!E:E,A55,Late_Transactions!K:K,"Recorded"),"")</x:f>
        <x:v>0</x:v>
      </x:c>
      <x:c r="G55" s="17" t="str">
        <x:f>IF(E55="","",IF(E55&gt;=5,"High",IF(E55&gt;=3,"Watch","OK")))</x:f>
      </x:c>
    </x:row>
    <x:row r="56">
      <x:c r="A56" s="17" t="str">
        <x:f>IF(Students!A56="","",Students!A56)</x:f>
      </x:c>
      <x:c r="B56" s="17" t="str">
        <x:f>IF(A56="","",Students!F56)</x:f>
      </x:c>
      <x:c r="C56" s="17" t="str">
        <x:f>IF(A56="","",Students!G56)</x:f>
      </x:c>
      <x:c r="D56" s="17" t="str">
        <x:f>IF(A56="","",Students!H56)</x:f>
      </x:c>
      <x:c r="E56" s="22" t="str">
        <x:f>IF(A56="","",COUNTIFS(Late_Transactions!E:E,A56,Late_Transactions!K:K,"Recorded"))</x:f>
      </x:c>
      <x:c r="F56" s="21" t="n">
        <x:f>IFERROR(MAXIFS(Late_Transactions!C:C,Late_Transactions!E:E,A56,Late_Transactions!K:K,"Recorded"),"")</x:f>
        <x:v>0</x:v>
      </x:c>
      <x:c r="G56" s="17" t="str">
        <x:f>IF(E56="","",IF(E56&gt;=5,"High",IF(E56&gt;=3,"Watch","OK")))</x:f>
      </x:c>
    </x:row>
    <x:row r="57">
      <x:c r="A57" s="17" t="str">
        <x:f>IF(Students!A57="","",Students!A57)</x:f>
      </x:c>
      <x:c r="B57" s="17" t="str">
        <x:f>IF(A57="","",Students!F57)</x:f>
      </x:c>
      <x:c r="C57" s="17" t="str">
        <x:f>IF(A57="","",Students!G57)</x:f>
      </x:c>
      <x:c r="D57" s="17" t="str">
        <x:f>IF(A57="","",Students!H57)</x:f>
      </x:c>
      <x:c r="E57" s="22" t="str">
        <x:f>IF(A57="","",COUNTIFS(Late_Transactions!E:E,A57,Late_Transactions!K:K,"Recorded"))</x:f>
      </x:c>
      <x:c r="F57" s="21" t="n">
        <x:f>IFERROR(MAXIFS(Late_Transactions!C:C,Late_Transactions!E:E,A57,Late_Transactions!K:K,"Recorded"),"")</x:f>
        <x:v>0</x:v>
      </x:c>
      <x:c r="G57" s="17" t="str">
        <x:f>IF(E57="","",IF(E57&gt;=5,"High",IF(E57&gt;=3,"Watch","OK")))</x:f>
      </x:c>
    </x:row>
    <x:row r="58">
      <x:c r="A58" s="17" t="str">
        <x:f>IF(Students!A58="","",Students!A58)</x:f>
      </x:c>
      <x:c r="B58" s="17" t="str">
        <x:f>IF(A58="","",Students!F58)</x:f>
      </x:c>
      <x:c r="C58" s="17" t="str">
        <x:f>IF(A58="","",Students!G58)</x:f>
      </x:c>
      <x:c r="D58" s="17" t="str">
        <x:f>IF(A58="","",Students!H58)</x:f>
      </x:c>
      <x:c r="E58" s="22" t="str">
        <x:f>IF(A58="","",COUNTIFS(Late_Transactions!E:E,A58,Late_Transactions!K:K,"Recorded"))</x:f>
      </x:c>
      <x:c r="F58" s="21" t="n">
        <x:f>IFERROR(MAXIFS(Late_Transactions!C:C,Late_Transactions!E:E,A58,Late_Transactions!K:K,"Recorded"),"")</x:f>
        <x:v>0</x:v>
      </x:c>
      <x:c r="G58" s="17" t="str">
        <x:f>IF(E58="","",IF(E58&gt;=5,"High",IF(E58&gt;=3,"Watch","OK")))</x:f>
      </x:c>
    </x:row>
    <x:row r="59">
      <x:c r="A59" s="17" t="str">
        <x:f>IF(Students!A59="","",Students!A59)</x:f>
      </x:c>
      <x:c r="B59" s="17" t="str">
        <x:f>IF(A59="","",Students!F59)</x:f>
      </x:c>
      <x:c r="C59" s="17" t="str">
        <x:f>IF(A59="","",Students!G59)</x:f>
      </x:c>
      <x:c r="D59" s="17" t="str">
        <x:f>IF(A59="","",Students!H59)</x:f>
      </x:c>
      <x:c r="E59" s="22" t="str">
        <x:f>IF(A59="","",COUNTIFS(Late_Transactions!E:E,A59,Late_Transactions!K:K,"Recorded"))</x:f>
      </x:c>
      <x:c r="F59" s="21" t="n">
        <x:f>IFERROR(MAXIFS(Late_Transactions!C:C,Late_Transactions!E:E,A59,Late_Transactions!K:K,"Recorded"),"")</x:f>
        <x:v>0</x:v>
      </x:c>
      <x:c r="G59" s="17" t="str">
        <x:f>IF(E59="","",IF(E59&gt;=5,"High",IF(E59&gt;=3,"Watch","OK")))</x:f>
      </x:c>
    </x:row>
    <x:row r="60">
      <x:c r="A60" s="17" t="str">
        <x:f>IF(Students!A60="","",Students!A60)</x:f>
      </x:c>
      <x:c r="B60" s="17" t="str">
        <x:f>IF(A60="","",Students!F60)</x:f>
      </x:c>
      <x:c r="C60" s="17" t="str">
        <x:f>IF(A60="","",Students!G60)</x:f>
      </x:c>
      <x:c r="D60" s="17" t="str">
        <x:f>IF(A60="","",Students!H60)</x:f>
      </x:c>
      <x:c r="E60" s="22" t="str">
        <x:f>IF(A60="","",COUNTIFS(Late_Transactions!E:E,A60,Late_Transactions!K:K,"Recorded"))</x:f>
      </x:c>
      <x:c r="F60" s="21" t="n">
        <x:f>IFERROR(MAXIFS(Late_Transactions!C:C,Late_Transactions!E:E,A60,Late_Transactions!K:K,"Recorded"),"")</x:f>
        <x:v>0</x:v>
      </x:c>
      <x:c r="G60" s="17" t="str">
        <x:f>IF(E60="","",IF(E60&gt;=5,"High",IF(E60&gt;=3,"Watch","OK")))</x:f>
      </x:c>
    </x:row>
    <x:row r="61">
      <x:c r="A61" s="17" t="str">
        <x:f>IF(Students!A61="","",Students!A61)</x:f>
      </x:c>
      <x:c r="B61" s="17" t="str">
        <x:f>IF(A61="","",Students!F61)</x:f>
      </x:c>
      <x:c r="C61" s="17" t="str">
        <x:f>IF(A61="","",Students!G61)</x:f>
      </x:c>
      <x:c r="D61" s="17" t="str">
        <x:f>IF(A61="","",Students!H61)</x:f>
      </x:c>
      <x:c r="E61" s="22" t="str">
        <x:f>IF(A61="","",COUNTIFS(Late_Transactions!E:E,A61,Late_Transactions!K:K,"Recorded"))</x:f>
      </x:c>
      <x:c r="F61" s="21" t="n">
        <x:f>IFERROR(MAXIFS(Late_Transactions!C:C,Late_Transactions!E:E,A61,Late_Transactions!K:K,"Recorded"),"")</x:f>
        <x:v>0</x:v>
      </x:c>
      <x:c r="G61" s="17" t="str">
        <x:f>IF(E61="","",IF(E61&gt;=5,"High",IF(E61&gt;=3,"Watch","OK")))</x:f>
      </x:c>
    </x:row>
    <x:row r="62">
      <x:c r="A62" s="17" t="str">
        <x:f>IF(Students!A62="","",Students!A62)</x:f>
      </x:c>
      <x:c r="B62" s="17" t="str">
        <x:f>IF(A62="","",Students!F62)</x:f>
      </x:c>
      <x:c r="C62" s="17" t="str">
        <x:f>IF(A62="","",Students!G62)</x:f>
      </x:c>
      <x:c r="D62" s="17" t="str">
        <x:f>IF(A62="","",Students!H62)</x:f>
      </x:c>
      <x:c r="E62" s="22" t="str">
        <x:f>IF(A62="","",COUNTIFS(Late_Transactions!E:E,A62,Late_Transactions!K:K,"Recorded"))</x:f>
      </x:c>
      <x:c r="F62" s="21" t="n">
        <x:f>IFERROR(MAXIFS(Late_Transactions!C:C,Late_Transactions!E:E,A62,Late_Transactions!K:K,"Recorded"),"")</x:f>
        <x:v>0</x:v>
      </x:c>
      <x:c r="G62" s="17" t="str">
        <x:f>IF(E62="","",IF(E62&gt;=5,"High",IF(E62&gt;=3,"Watch","OK")))</x:f>
      </x:c>
    </x:row>
    <x:row r="63">
      <x:c r="A63" s="17" t="str">
        <x:f>IF(Students!A63="","",Students!A63)</x:f>
      </x:c>
      <x:c r="B63" s="17" t="str">
        <x:f>IF(A63="","",Students!F63)</x:f>
      </x:c>
      <x:c r="C63" s="17" t="str">
        <x:f>IF(A63="","",Students!G63)</x:f>
      </x:c>
      <x:c r="D63" s="17" t="str">
        <x:f>IF(A63="","",Students!H63)</x:f>
      </x:c>
      <x:c r="E63" s="22" t="str">
        <x:f>IF(A63="","",COUNTIFS(Late_Transactions!E:E,A63,Late_Transactions!K:K,"Recorded"))</x:f>
      </x:c>
      <x:c r="F63" s="21" t="n">
        <x:f>IFERROR(MAXIFS(Late_Transactions!C:C,Late_Transactions!E:E,A63,Late_Transactions!K:K,"Recorded"),"")</x:f>
        <x:v>0</x:v>
      </x:c>
      <x:c r="G63" s="17" t="str">
        <x:f>IF(E63="","",IF(E63&gt;=5,"High",IF(E63&gt;=3,"Watch","OK")))</x:f>
      </x:c>
    </x:row>
    <x:row r="64">
      <x:c r="A64" s="17" t="str">
        <x:f>IF(Students!A64="","",Students!A64)</x:f>
      </x:c>
      <x:c r="B64" s="17" t="str">
        <x:f>IF(A64="","",Students!F64)</x:f>
      </x:c>
      <x:c r="C64" s="17" t="str">
        <x:f>IF(A64="","",Students!G64)</x:f>
      </x:c>
      <x:c r="D64" s="17" t="str">
        <x:f>IF(A64="","",Students!H64)</x:f>
      </x:c>
      <x:c r="E64" s="22" t="str">
        <x:f>IF(A64="","",COUNTIFS(Late_Transactions!E:E,A64,Late_Transactions!K:K,"Recorded"))</x:f>
      </x:c>
      <x:c r="F64" s="21" t="n">
        <x:f>IFERROR(MAXIFS(Late_Transactions!C:C,Late_Transactions!E:E,A64,Late_Transactions!K:K,"Recorded"),"")</x:f>
        <x:v>0</x:v>
      </x:c>
      <x:c r="G64" s="17" t="str">
        <x:f>IF(E64="","",IF(E64&gt;=5,"High",IF(E64&gt;=3,"Watch","OK")))</x:f>
      </x:c>
    </x:row>
    <x:row r="65">
      <x:c r="A65" s="17" t="str">
        <x:f>IF(Students!A65="","",Students!A65)</x:f>
      </x:c>
      <x:c r="B65" s="17" t="str">
        <x:f>IF(A65="","",Students!F65)</x:f>
      </x:c>
      <x:c r="C65" s="17" t="str">
        <x:f>IF(A65="","",Students!G65)</x:f>
      </x:c>
      <x:c r="D65" s="17" t="str">
        <x:f>IF(A65="","",Students!H65)</x:f>
      </x:c>
      <x:c r="E65" s="22" t="str">
        <x:f>IF(A65="","",COUNTIFS(Late_Transactions!E:E,A65,Late_Transactions!K:K,"Recorded"))</x:f>
      </x:c>
      <x:c r="F65" s="21" t="n">
        <x:f>IFERROR(MAXIFS(Late_Transactions!C:C,Late_Transactions!E:E,A65,Late_Transactions!K:K,"Recorded"),"")</x:f>
        <x:v>0</x:v>
      </x:c>
      <x:c r="G65" s="17" t="str">
        <x:f>IF(E65="","",IF(E65&gt;=5,"High",IF(E65&gt;=3,"Watch","OK")))</x:f>
      </x:c>
    </x:row>
    <x:row r="66">
      <x:c r="A66" s="17" t="str">
        <x:f>IF(Students!A66="","",Students!A66)</x:f>
      </x:c>
      <x:c r="B66" s="17" t="str">
        <x:f>IF(A66="","",Students!F66)</x:f>
      </x:c>
      <x:c r="C66" s="17" t="str">
        <x:f>IF(A66="","",Students!G66)</x:f>
      </x:c>
      <x:c r="D66" s="17" t="str">
        <x:f>IF(A66="","",Students!H66)</x:f>
      </x:c>
      <x:c r="E66" s="22" t="str">
        <x:f>IF(A66="","",COUNTIFS(Late_Transactions!E:E,A66,Late_Transactions!K:K,"Recorded"))</x:f>
      </x:c>
      <x:c r="F66" s="21" t="n">
        <x:f>IFERROR(MAXIFS(Late_Transactions!C:C,Late_Transactions!E:E,A66,Late_Transactions!K:K,"Recorded"),"")</x:f>
        <x:v>0</x:v>
      </x:c>
      <x:c r="G66" s="17" t="str">
        <x:f>IF(E66="","",IF(E66&gt;=5,"High",IF(E66&gt;=3,"Watch","OK")))</x:f>
      </x:c>
    </x:row>
    <x:row r="67">
      <x:c r="A67" s="17" t="str">
        <x:f>IF(Students!A67="","",Students!A67)</x:f>
      </x:c>
      <x:c r="B67" s="17" t="str">
        <x:f>IF(A67="","",Students!F67)</x:f>
      </x:c>
      <x:c r="C67" s="17" t="str">
        <x:f>IF(A67="","",Students!G67)</x:f>
      </x:c>
      <x:c r="D67" s="17" t="str">
        <x:f>IF(A67="","",Students!H67)</x:f>
      </x:c>
      <x:c r="E67" s="22" t="str">
        <x:f>IF(A67="","",COUNTIFS(Late_Transactions!E:E,A67,Late_Transactions!K:K,"Recorded"))</x:f>
      </x:c>
      <x:c r="F67" s="21" t="n">
        <x:f>IFERROR(MAXIFS(Late_Transactions!C:C,Late_Transactions!E:E,A67,Late_Transactions!K:K,"Recorded"),"")</x:f>
        <x:v>0</x:v>
      </x:c>
      <x:c r="G67" s="17" t="str">
        <x:f>IF(E67="","",IF(E67&gt;=5,"High",IF(E67&gt;=3,"Watch","OK")))</x:f>
      </x:c>
    </x:row>
    <x:row r="68">
      <x:c r="A68" s="17" t="str">
        <x:f>IF(Students!A68="","",Students!A68)</x:f>
      </x:c>
      <x:c r="B68" s="17" t="str">
        <x:f>IF(A68="","",Students!F68)</x:f>
      </x:c>
      <x:c r="C68" s="17" t="str">
        <x:f>IF(A68="","",Students!G68)</x:f>
      </x:c>
      <x:c r="D68" s="17" t="str">
        <x:f>IF(A68="","",Students!H68)</x:f>
      </x:c>
      <x:c r="E68" s="22" t="str">
        <x:f>IF(A68="","",COUNTIFS(Late_Transactions!E:E,A68,Late_Transactions!K:K,"Recorded"))</x:f>
      </x:c>
      <x:c r="F68" s="21" t="n">
        <x:f>IFERROR(MAXIFS(Late_Transactions!C:C,Late_Transactions!E:E,A68,Late_Transactions!K:K,"Recorded"),"")</x:f>
        <x:v>0</x:v>
      </x:c>
      <x:c r="G68" s="17" t="str">
        <x:f>IF(E68="","",IF(E68&gt;=5,"High",IF(E68&gt;=3,"Watch","OK")))</x:f>
      </x:c>
    </x:row>
    <x:row r="69">
      <x:c r="A69" s="17" t="str">
        <x:f>IF(Students!A69="","",Students!A69)</x:f>
      </x:c>
      <x:c r="B69" s="17" t="str">
        <x:f>IF(A69="","",Students!F69)</x:f>
      </x:c>
      <x:c r="C69" s="17" t="str">
        <x:f>IF(A69="","",Students!G69)</x:f>
      </x:c>
      <x:c r="D69" s="17" t="str">
        <x:f>IF(A69="","",Students!H69)</x:f>
      </x:c>
      <x:c r="E69" s="22" t="str">
        <x:f>IF(A69="","",COUNTIFS(Late_Transactions!E:E,A69,Late_Transactions!K:K,"Recorded"))</x:f>
      </x:c>
      <x:c r="F69" s="21" t="n">
        <x:f>IFERROR(MAXIFS(Late_Transactions!C:C,Late_Transactions!E:E,A69,Late_Transactions!K:K,"Recorded"),"")</x:f>
        <x:v>0</x:v>
      </x:c>
      <x:c r="G69" s="17" t="str">
        <x:f>IF(E69="","",IF(E69&gt;=5,"High",IF(E69&gt;=3,"Watch","OK")))</x:f>
      </x:c>
    </x:row>
    <x:row r="70">
      <x:c r="A70" s="17" t="str">
        <x:f>IF(Students!A70="","",Students!A70)</x:f>
      </x:c>
      <x:c r="B70" s="17" t="str">
        <x:f>IF(A70="","",Students!F70)</x:f>
      </x:c>
      <x:c r="C70" s="17" t="str">
        <x:f>IF(A70="","",Students!G70)</x:f>
      </x:c>
      <x:c r="D70" s="17" t="str">
        <x:f>IF(A70="","",Students!H70)</x:f>
      </x:c>
      <x:c r="E70" s="22" t="str">
        <x:f>IF(A70="","",COUNTIFS(Late_Transactions!E:E,A70,Late_Transactions!K:K,"Recorded"))</x:f>
      </x:c>
      <x:c r="F70" s="21" t="n">
        <x:f>IFERROR(MAXIFS(Late_Transactions!C:C,Late_Transactions!E:E,A70,Late_Transactions!K:K,"Recorded"),"")</x:f>
        <x:v>0</x:v>
      </x:c>
      <x:c r="G70" s="17" t="str">
        <x:f>IF(E70="","",IF(E70&gt;=5,"High",IF(E70&gt;=3,"Watch","OK")))</x:f>
      </x:c>
    </x:row>
    <x:row r="71">
      <x:c r="A71" s="17" t="str">
        <x:f>IF(Students!A71="","",Students!A71)</x:f>
      </x:c>
      <x:c r="B71" s="17" t="str">
        <x:f>IF(A71="","",Students!F71)</x:f>
      </x:c>
      <x:c r="C71" s="17" t="str">
        <x:f>IF(A71="","",Students!G71)</x:f>
      </x:c>
      <x:c r="D71" s="17" t="str">
        <x:f>IF(A71="","",Students!H71)</x:f>
      </x:c>
      <x:c r="E71" s="22" t="str">
        <x:f>IF(A71="","",COUNTIFS(Late_Transactions!E:E,A71,Late_Transactions!K:K,"Recorded"))</x:f>
      </x:c>
      <x:c r="F71" s="21" t="n">
        <x:f>IFERROR(MAXIFS(Late_Transactions!C:C,Late_Transactions!E:E,A71,Late_Transactions!K:K,"Recorded"),"")</x:f>
        <x:v>0</x:v>
      </x:c>
      <x:c r="G71" s="17" t="str">
        <x:f>IF(E71="","",IF(E71&gt;=5,"High",IF(E71&gt;=3,"Watch","OK")))</x:f>
      </x:c>
    </x:row>
    <x:row r="72">
      <x:c r="A72" s="17" t="str">
        <x:f>IF(Students!A72="","",Students!A72)</x:f>
      </x:c>
      <x:c r="B72" s="17" t="str">
        <x:f>IF(A72="","",Students!F72)</x:f>
      </x:c>
      <x:c r="C72" s="17" t="str">
        <x:f>IF(A72="","",Students!G72)</x:f>
      </x:c>
      <x:c r="D72" s="17" t="str">
        <x:f>IF(A72="","",Students!H72)</x:f>
      </x:c>
      <x:c r="E72" s="22" t="str">
        <x:f>IF(A72="","",COUNTIFS(Late_Transactions!E:E,A72,Late_Transactions!K:K,"Recorded"))</x:f>
      </x:c>
      <x:c r="F72" s="21" t="n">
        <x:f>IFERROR(MAXIFS(Late_Transactions!C:C,Late_Transactions!E:E,A72,Late_Transactions!K:K,"Recorded"),"")</x:f>
        <x:v>0</x:v>
      </x:c>
      <x:c r="G72" s="17" t="str">
        <x:f>IF(E72="","",IF(E72&gt;=5,"High",IF(E72&gt;=3,"Watch","OK")))</x:f>
      </x:c>
    </x:row>
    <x:row r="73">
      <x:c r="A73" s="17" t="str">
        <x:f>IF(Students!A73="","",Students!A73)</x:f>
      </x:c>
      <x:c r="B73" s="17" t="str">
        <x:f>IF(A73="","",Students!F73)</x:f>
      </x:c>
      <x:c r="C73" s="17" t="str">
        <x:f>IF(A73="","",Students!G73)</x:f>
      </x:c>
      <x:c r="D73" s="17" t="str">
        <x:f>IF(A73="","",Students!H73)</x:f>
      </x:c>
      <x:c r="E73" s="22" t="str">
        <x:f>IF(A73="","",COUNTIFS(Late_Transactions!E:E,A73,Late_Transactions!K:K,"Recorded"))</x:f>
      </x:c>
      <x:c r="F73" s="21" t="n">
        <x:f>IFERROR(MAXIFS(Late_Transactions!C:C,Late_Transactions!E:E,A73,Late_Transactions!K:K,"Recorded"),"")</x:f>
        <x:v>0</x:v>
      </x:c>
      <x:c r="G73" s="17" t="str">
        <x:f>IF(E73="","",IF(E73&gt;=5,"High",IF(E73&gt;=3,"Watch","OK")))</x:f>
      </x:c>
    </x:row>
    <x:row r="74">
      <x:c r="A74" s="17" t="str">
        <x:f>IF(Students!A74="","",Students!A74)</x:f>
      </x:c>
      <x:c r="B74" s="17" t="str">
        <x:f>IF(A74="","",Students!F74)</x:f>
      </x:c>
      <x:c r="C74" s="17" t="str">
        <x:f>IF(A74="","",Students!G74)</x:f>
      </x:c>
      <x:c r="D74" s="17" t="str">
        <x:f>IF(A74="","",Students!H74)</x:f>
      </x:c>
      <x:c r="E74" s="22" t="str">
        <x:f>IF(A74="","",COUNTIFS(Late_Transactions!E:E,A74,Late_Transactions!K:K,"Recorded"))</x:f>
      </x:c>
      <x:c r="F74" s="21" t="n">
        <x:f>IFERROR(MAXIFS(Late_Transactions!C:C,Late_Transactions!E:E,A74,Late_Transactions!K:K,"Recorded"),"")</x:f>
        <x:v>0</x:v>
      </x:c>
      <x:c r="G74" s="17" t="str">
        <x:f>IF(E74="","",IF(E74&gt;=5,"High",IF(E74&gt;=3,"Watch","OK")))</x:f>
      </x:c>
    </x:row>
    <x:row r="75">
      <x:c r="A75" s="17" t="str">
        <x:f>IF(Students!A75="","",Students!A75)</x:f>
      </x:c>
      <x:c r="B75" s="17" t="str">
        <x:f>IF(A75="","",Students!F75)</x:f>
      </x:c>
      <x:c r="C75" s="17" t="str">
        <x:f>IF(A75="","",Students!G75)</x:f>
      </x:c>
      <x:c r="D75" s="17" t="str">
        <x:f>IF(A75="","",Students!H75)</x:f>
      </x:c>
      <x:c r="E75" s="22" t="str">
        <x:f>IF(A75="","",COUNTIFS(Late_Transactions!E:E,A75,Late_Transactions!K:K,"Recorded"))</x:f>
      </x:c>
      <x:c r="F75" s="21" t="n">
        <x:f>IFERROR(MAXIFS(Late_Transactions!C:C,Late_Transactions!E:E,A75,Late_Transactions!K:K,"Recorded"),"")</x:f>
        <x:v>0</x:v>
      </x:c>
      <x:c r="G75" s="17" t="str">
        <x:f>IF(E75="","",IF(E75&gt;=5,"High",IF(E75&gt;=3,"Watch","OK")))</x:f>
      </x:c>
    </x:row>
    <x:row r="76">
      <x:c r="A76" s="17" t="str">
        <x:f>IF(Students!A76="","",Students!A76)</x:f>
      </x:c>
      <x:c r="B76" s="17" t="str">
        <x:f>IF(A76="","",Students!F76)</x:f>
      </x:c>
      <x:c r="C76" s="17" t="str">
        <x:f>IF(A76="","",Students!G76)</x:f>
      </x:c>
      <x:c r="D76" s="17" t="str">
        <x:f>IF(A76="","",Students!H76)</x:f>
      </x:c>
      <x:c r="E76" s="22" t="str">
        <x:f>IF(A76="","",COUNTIFS(Late_Transactions!E:E,A76,Late_Transactions!K:K,"Recorded"))</x:f>
      </x:c>
      <x:c r="F76" s="21" t="n">
        <x:f>IFERROR(MAXIFS(Late_Transactions!C:C,Late_Transactions!E:E,A76,Late_Transactions!K:K,"Recorded"),"")</x:f>
        <x:v>0</x:v>
      </x:c>
      <x:c r="G76" s="17" t="str">
        <x:f>IF(E76="","",IF(E76&gt;=5,"High",IF(E76&gt;=3,"Watch","OK")))</x:f>
      </x:c>
    </x:row>
    <x:row r="77">
      <x:c r="A77" s="17" t="str">
        <x:f>IF(Students!A77="","",Students!A77)</x:f>
      </x:c>
      <x:c r="B77" s="17" t="str">
        <x:f>IF(A77="","",Students!F77)</x:f>
      </x:c>
      <x:c r="C77" s="17" t="str">
        <x:f>IF(A77="","",Students!G77)</x:f>
      </x:c>
      <x:c r="D77" s="17" t="str">
        <x:f>IF(A77="","",Students!H77)</x:f>
      </x:c>
      <x:c r="E77" s="22" t="str">
        <x:f>IF(A77="","",COUNTIFS(Late_Transactions!E:E,A77,Late_Transactions!K:K,"Recorded"))</x:f>
      </x:c>
      <x:c r="F77" s="21" t="n">
        <x:f>IFERROR(MAXIFS(Late_Transactions!C:C,Late_Transactions!E:E,A77,Late_Transactions!K:K,"Recorded"),"")</x:f>
        <x:v>0</x:v>
      </x:c>
      <x:c r="G77" s="17" t="str">
        <x:f>IF(E77="","",IF(E77&gt;=5,"High",IF(E77&gt;=3,"Watch","OK")))</x:f>
      </x:c>
    </x:row>
    <x:row r="78">
      <x:c r="A78" s="17" t="str">
        <x:f>IF(Students!A78="","",Students!A78)</x:f>
      </x:c>
      <x:c r="B78" s="17" t="str">
        <x:f>IF(A78="","",Students!F78)</x:f>
      </x:c>
      <x:c r="C78" s="17" t="str">
        <x:f>IF(A78="","",Students!G78)</x:f>
      </x:c>
      <x:c r="D78" s="17" t="str">
        <x:f>IF(A78="","",Students!H78)</x:f>
      </x:c>
      <x:c r="E78" s="22" t="str">
        <x:f>IF(A78="","",COUNTIFS(Late_Transactions!E:E,A78,Late_Transactions!K:K,"Recorded"))</x:f>
      </x:c>
      <x:c r="F78" s="21" t="n">
        <x:f>IFERROR(MAXIFS(Late_Transactions!C:C,Late_Transactions!E:E,A78,Late_Transactions!K:K,"Recorded"),"")</x:f>
        <x:v>0</x:v>
      </x:c>
      <x:c r="G78" s="17" t="str">
        <x:f>IF(E78="","",IF(E78&gt;=5,"High",IF(E78&gt;=3,"Watch","OK")))</x:f>
      </x:c>
    </x:row>
    <x:row r="79">
      <x:c r="A79" s="17" t="str">
        <x:f>IF(Students!A79="","",Students!A79)</x:f>
      </x:c>
      <x:c r="B79" s="17" t="str">
        <x:f>IF(A79="","",Students!F79)</x:f>
      </x:c>
      <x:c r="C79" s="17" t="str">
        <x:f>IF(A79="","",Students!G79)</x:f>
      </x:c>
      <x:c r="D79" s="17" t="str">
        <x:f>IF(A79="","",Students!H79)</x:f>
      </x:c>
      <x:c r="E79" s="22" t="str">
        <x:f>IF(A79="","",COUNTIFS(Late_Transactions!E:E,A79,Late_Transactions!K:K,"Recorded"))</x:f>
      </x:c>
      <x:c r="F79" s="21" t="n">
        <x:f>IFERROR(MAXIFS(Late_Transactions!C:C,Late_Transactions!E:E,A79,Late_Transactions!K:K,"Recorded"),"")</x:f>
        <x:v>0</x:v>
      </x:c>
      <x:c r="G79" s="17" t="str">
        <x:f>IF(E79="","",IF(E79&gt;=5,"High",IF(E79&gt;=3,"Watch","OK")))</x:f>
      </x:c>
    </x:row>
    <x:row r="80">
      <x:c r="A80" s="17" t="str">
        <x:f>IF(Students!A80="","",Students!A80)</x:f>
      </x:c>
      <x:c r="B80" s="17" t="str">
        <x:f>IF(A80="","",Students!F80)</x:f>
      </x:c>
      <x:c r="C80" s="17" t="str">
        <x:f>IF(A80="","",Students!G80)</x:f>
      </x:c>
      <x:c r="D80" s="17" t="str">
        <x:f>IF(A80="","",Students!H80)</x:f>
      </x:c>
      <x:c r="E80" s="22" t="str">
        <x:f>IF(A80="","",COUNTIFS(Late_Transactions!E:E,A80,Late_Transactions!K:K,"Recorded"))</x:f>
      </x:c>
      <x:c r="F80" s="21" t="n">
        <x:f>IFERROR(MAXIFS(Late_Transactions!C:C,Late_Transactions!E:E,A80,Late_Transactions!K:K,"Recorded"),"")</x:f>
        <x:v>0</x:v>
      </x:c>
      <x:c r="G80" s="17" t="str">
        <x:f>IF(E80="","",IF(E80&gt;=5,"High",IF(E80&gt;=3,"Watch","OK")))</x:f>
      </x:c>
    </x:row>
    <x:row r="81">
      <x:c r="A81" s="17" t="str">
        <x:f>IF(Students!A81="","",Students!A81)</x:f>
      </x:c>
      <x:c r="B81" s="17" t="str">
        <x:f>IF(A81="","",Students!F81)</x:f>
      </x:c>
      <x:c r="C81" s="17" t="str">
        <x:f>IF(A81="","",Students!G81)</x:f>
      </x:c>
      <x:c r="D81" s="17" t="str">
        <x:f>IF(A81="","",Students!H81)</x:f>
      </x:c>
      <x:c r="E81" s="22" t="str">
        <x:f>IF(A81="","",COUNTIFS(Late_Transactions!E:E,A81,Late_Transactions!K:K,"Recorded"))</x:f>
      </x:c>
      <x:c r="F81" s="21" t="n">
        <x:f>IFERROR(MAXIFS(Late_Transactions!C:C,Late_Transactions!E:E,A81,Late_Transactions!K:K,"Recorded"),"")</x:f>
        <x:v>0</x:v>
      </x:c>
      <x:c r="G81" s="17" t="str">
        <x:f>IF(E81="","",IF(E81&gt;=5,"High",IF(E81&gt;=3,"Watch","OK")))</x:f>
      </x:c>
    </x:row>
    <x:row r="82">
      <x:c r="A82" s="17" t="str">
        <x:f>IF(Students!A82="","",Students!A82)</x:f>
      </x:c>
      <x:c r="B82" s="17" t="str">
        <x:f>IF(A82="","",Students!F82)</x:f>
      </x:c>
      <x:c r="C82" s="17" t="str">
        <x:f>IF(A82="","",Students!G82)</x:f>
      </x:c>
      <x:c r="D82" s="17" t="str">
        <x:f>IF(A82="","",Students!H82)</x:f>
      </x:c>
      <x:c r="E82" s="22" t="str">
        <x:f>IF(A82="","",COUNTIFS(Late_Transactions!E:E,A82,Late_Transactions!K:K,"Recorded"))</x:f>
      </x:c>
      <x:c r="F82" s="21" t="n">
        <x:f>IFERROR(MAXIFS(Late_Transactions!C:C,Late_Transactions!E:E,A82,Late_Transactions!K:K,"Recorded"),"")</x:f>
        <x:v>0</x:v>
      </x:c>
      <x:c r="G82" s="17" t="str">
        <x:f>IF(E82="","",IF(E82&gt;=5,"High",IF(E82&gt;=3,"Watch","OK")))</x:f>
      </x:c>
    </x:row>
    <x:row r="83">
      <x:c r="A83" s="17" t="str">
        <x:f>IF(Students!A83="","",Students!A83)</x:f>
      </x:c>
      <x:c r="B83" s="17" t="str">
        <x:f>IF(A83="","",Students!F83)</x:f>
      </x:c>
      <x:c r="C83" s="17" t="str">
        <x:f>IF(A83="","",Students!G83)</x:f>
      </x:c>
      <x:c r="D83" s="17" t="str">
        <x:f>IF(A83="","",Students!H83)</x:f>
      </x:c>
      <x:c r="E83" s="22" t="str">
        <x:f>IF(A83="","",COUNTIFS(Late_Transactions!E:E,A83,Late_Transactions!K:K,"Recorded"))</x:f>
      </x:c>
      <x:c r="F83" s="21" t="n">
        <x:f>IFERROR(MAXIFS(Late_Transactions!C:C,Late_Transactions!E:E,A83,Late_Transactions!K:K,"Recorded"),"")</x:f>
        <x:v>0</x:v>
      </x:c>
      <x:c r="G83" s="17" t="str">
        <x:f>IF(E83="","",IF(E83&gt;=5,"High",IF(E83&gt;=3,"Watch","OK")))</x:f>
      </x:c>
    </x:row>
    <x:row r="84">
      <x:c r="A84" s="17" t="str">
        <x:f>IF(Students!A84="","",Students!A84)</x:f>
      </x:c>
      <x:c r="B84" s="17" t="str">
        <x:f>IF(A84="","",Students!F84)</x:f>
      </x:c>
      <x:c r="C84" s="17" t="str">
        <x:f>IF(A84="","",Students!G84)</x:f>
      </x:c>
      <x:c r="D84" s="17" t="str">
        <x:f>IF(A84="","",Students!H84)</x:f>
      </x:c>
      <x:c r="E84" s="22" t="str">
        <x:f>IF(A84="","",COUNTIFS(Late_Transactions!E:E,A84,Late_Transactions!K:K,"Recorded"))</x:f>
      </x:c>
      <x:c r="F84" s="21" t="n">
        <x:f>IFERROR(MAXIFS(Late_Transactions!C:C,Late_Transactions!E:E,A84,Late_Transactions!K:K,"Recorded"),"")</x:f>
        <x:v>0</x:v>
      </x:c>
      <x:c r="G84" s="17" t="str">
        <x:f>IF(E84="","",IF(E84&gt;=5,"High",IF(E84&gt;=3,"Watch","OK")))</x:f>
      </x:c>
    </x:row>
    <x:row r="85">
      <x:c r="A85" s="17" t="str">
        <x:f>IF(Students!A85="","",Students!A85)</x:f>
      </x:c>
      <x:c r="B85" s="17" t="str">
        <x:f>IF(A85="","",Students!F85)</x:f>
      </x:c>
      <x:c r="C85" s="17" t="str">
        <x:f>IF(A85="","",Students!G85)</x:f>
      </x:c>
      <x:c r="D85" s="17" t="str">
        <x:f>IF(A85="","",Students!H85)</x:f>
      </x:c>
      <x:c r="E85" s="22" t="str">
        <x:f>IF(A85="","",COUNTIFS(Late_Transactions!E:E,A85,Late_Transactions!K:K,"Recorded"))</x:f>
      </x:c>
      <x:c r="F85" s="21" t="n">
        <x:f>IFERROR(MAXIFS(Late_Transactions!C:C,Late_Transactions!E:E,A85,Late_Transactions!K:K,"Recorded"),"")</x:f>
        <x:v>0</x:v>
      </x:c>
      <x:c r="G85" s="17" t="str">
        <x:f>IF(E85="","",IF(E85&gt;=5,"High",IF(E85&gt;=3,"Watch","OK")))</x:f>
      </x:c>
    </x:row>
    <x:row r="86">
      <x:c r="A86" s="17" t="str">
        <x:f>IF(Students!A86="","",Students!A86)</x:f>
      </x:c>
      <x:c r="B86" s="17" t="str">
        <x:f>IF(A86="","",Students!F86)</x:f>
      </x:c>
      <x:c r="C86" s="17" t="str">
        <x:f>IF(A86="","",Students!G86)</x:f>
      </x:c>
      <x:c r="D86" s="17" t="str">
        <x:f>IF(A86="","",Students!H86)</x:f>
      </x:c>
      <x:c r="E86" s="22" t="str">
        <x:f>IF(A86="","",COUNTIFS(Late_Transactions!E:E,A86,Late_Transactions!K:K,"Recorded"))</x:f>
      </x:c>
      <x:c r="F86" s="21" t="n">
        <x:f>IFERROR(MAXIFS(Late_Transactions!C:C,Late_Transactions!E:E,A86,Late_Transactions!K:K,"Recorded"),"")</x:f>
        <x:v>0</x:v>
      </x:c>
      <x:c r="G86" s="17" t="str">
        <x:f>IF(E86="","",IF(E86&gt;=5,"High",IF(E86&gt;=3,"Watch","OK")))</x:f>
      </x:c>
    </x:row>
    <x:row r="87">
      <x:c r="A87" s="17" t="str">
        <x:f>IF(Students!A87="","",Students!A87)</x:f>
      </x:c>
      <x:c r="B87" s="17" t="str">
        <x:f>IF(A87="","",Students!F87)</x:f>
      </x:c>
      <x:c r="C87" s="17" t="str">
        <x:f>IF(A87="","",Students!G87)</x:f>
      </x:c>
      <x:c r="D87" s="17" t="str">
        <x:f>IF(A87="","",Students!H87)</x:f>
      </x:c>
      <x:c r="E87" s="22" t="str">
        <x:f>IF(A87="","",COUNTIFS(Late_Transactions!E:E,A87,Late_Transactions!K:K,"Recorded"))</x:f>
      </x:c>
      <x:c r="F87" s="21" t="n">
        <x:f>IFERROR(MAXIFS(Late_Transactions!C:C,Late_Transactions!E:E,A87,Late_Transactions!K:K,"Recorded"),"")</x:f>
        <x:v>0</x:v>
      </x:c>
      <x:c r="G87" s="17" t="str">
        <x:f>IF(E87="","",IF(E87&gt;=5,"High",IF(E87&gt;=3,"Watch","OK")))</x:f>
      </x:c>
    </x:row>
    <x:row r="88">
      <x:c r="A88" s="17" t="str">
        <x:f>IF(Students!A88="","",Students!A88)</x:f>
      </x:c>
      <x:c r="B88" s="17" t="str">
        <x:f>IF(A88="","",Students!F88)</x:f>
      </x:c>
      <x:c r="C88" s="17" t="str">
        <x:f>IF(A88="","",Students!G88)</x:f>
      </x:c>
      <x:c r="D88" s="17" t="str">
        <x:f>IF(A88="","",Students!H88)</x:f>
      </x:c>
      <x:c r="E88" s="22" t="str">
        <x:f>IF(A88="","",COUNTIFS(Late_Transactions!E:E,A88,Late_Transactions!K:K,"Recorded"))</x:f>
      </x:c>
      <x:c r="F88" s="21" t="n">
        <x:f>IFERROR(MAXIFS(Late_Transactions!C:C,Late_Transactions!E:E,A88,Late_Transactions!K:K,"Recorded"),"")</x:f>
        <x:v>0</x:v>
      </x:c>
      <x:c r="G88" s="17" t="str">
        <x:f>IF(E88="","",IF(E88&gt;=5,"High",IF(E88&gt;=3,"Watch","OK")))</x:f>
      </x:c>
    </x:row>
    <x:row r="89">
      <x:c r="A89" s="17" t="str">
        <x:f>IF(Students!A89="","",Students!A89)</x:f>
      </x:c>
      <x:c r="B89" s="17" t="str">
        <x:f>IF(A89="","",Students!F89)</x:f>
      </x:c>
      <x:c r="C89" s="17" t="str">
        <x:f>IF(A89="","",Students!G89)</x:f>
      </x:c>
      <x:c r="D89" s="17" t="str">
        <x:f>IF(A89="","",Students!H89)</x:f>
      </x:c>
      <x:c r="E89" s="22" t="str">
        <x:f>IF(A89="","",COUNTIFS(Late_Transactions!E:E,A89,Late_Transactions!K:K,"Recorded"))</x:f>
      </x:c>
      <x:c r="F89" s="21" t="n">
        <x:f>IFERROR(MAXIFS(Late_Transactions!C:C,Late_Transactions!E:E,A89,Late_Transactions!K:K,"Recorded"),"")</x:f>
        <x:v>0</x:v>
      </x:c>
      <x:c r="G89" s="17" t="str">
        <x:f>IF(E89="","",IF(E89&gt;=5,"High",IF(E89&gt;=3,"Watch","OK")))</x:f>
      </x:c>
    </x:row>
    <x:row r="90">
      <x:c r="A90" s="17" t="str">
        <x:f>IF(Students!A90="","",Students!A90)</x:f>
      </x:c>
      <x:c r="B90" s="17" t="str">
        <x:f>IF(A90="","",Students!F90)</x:f>
      </x:c>
      <x:c r="C90" s="17" t="str">
        <x:f>IF(A90="","",Students!G90)</x:f>
      </x:c>
      <x:c r="D90" s="17" t="str">
        <x:f>IF(A90="","",Students!H90)</x:f>
      </x:c>
      <x:c r="E90" s="22" t="str">
        <x:f>IF(A90="","",COUNTIFS(Late_Transactions!E:E,A90,Late_Transactions!K:K,"Recorded"))</x:f>
      </x:c>
      <x:c r="F90" s="21" t="n">
        <x:f>IFERROR(MAXIFS(Late_Transactions!C:C,Late_Transactions!E:E,A90,Late_Transactions!K:K,"Recorded"),"")</x:f>
        <x:v>0</x:v>
      </x:c>
      <x:c r="G90" s="17" t="str">
        <x:f>IF(E90="","",IF(E90&gt;=5,"High",IF(E90&gt;=3,"Watch","OK")))</x:f>
      </x:c>
    </x:row>
    <x:row r="91">
      <x:c r="A91" s="17" t="str">
        <x:f>IF(Students!A91="","",Students!A91)</x:f>
      </x:c>
      <x:c r="B91" s="17" t="str">
        <x:f>IF(A91="","",Students!F91)</x:f>
      </x:c>
      <x:c r="C91" s="17" t="str">
        <x:f>IF(A91="","",Students!G91)</x:f>
      </x:c>
      <x:c r="D91" s="17" t="str">
        <x:f>IF(A91="","",Students!H91)</x:f>
      </x:c>
      <x:c r="E91" s="22" t="str">
        <x:f>IF(A91="","",COUNTIFS(Late_Transactions!E:E,A91,Late_Transactions!K:K,"Recorded"))</x:f>
      </x:c>
      <x:c r="F91" s="21" t="n">
        <x:f>IFERROR(MAXIFS(Late_Transactions!C:C,Late_Transactions!E:E,A91,Late_Transactions!K:K,"Recorded"),"")</x:f>
        <x:v>0</x:v>
      </x:c>
      <x:c r="G91" s="17" t="str">
        <x:f>IF(E91="","",IF(E91&gt;=5,"High",IF(E91&gt;=3,"Watch","OK")))</x:f>
      </x:c>
    </x:row>
    <x:row r="92">
      <x:c r="A92" s="17" t="str">
        <x:f>IF(Students!A92="","",Students!A92)</x:f>
      </x:c>
      <x:c r="B92" s="17" t="str">
        <x:f>IF(A92="","",Students!F92)</x:f>
      </x:c>
      <x:c r="C92" s="17" t="str">
        <x:f>IF(A92="","",Students!G92)</x:f>
      </x:c>
      <x:c r="D92" s="17" t="str">
        <x:f>IF(A92="","",Students!H92)</x:f>
      </x:c>
      <x:c r="E92" s="22" t="str">
        <x:f>IF(A92="","",COUNTIFS(Late_Transactions!E:E,A92,Late_Transactions!K:K,"Recorded"))</x:f>
      </x:c>
      <x:c r="F92" s="21" t="n">
        <x:f>IFERROR(MAXIFS(Late_Transactions!C:C,Late_Transactions!E:E,A92,Late_Transactions!K:K,"Recorded"),"")</x:f>
        <x:v>0</x:v>
      </x:c>
      <x:c r="G92" s="17" t="str">
        <x:f>IF(E92="","",IF(E92&gt;=5,"High",IF(E92&gt;=3,"Watch","OK")))</x:f>
      </x:c>
    </x:row>
    <x:row r="93">
      <x:c r="A93" s="17" t="str">
        <x:f>IF(Students!A93="","",Students!A93)</x:f>
      </x:c>
      <x:c r="B93" s="17" t="str">
        <x:f>IF(A93="","",Students!F93)</x:f>
      </x:c>
      <x:c r="C93" s="17" t="str">
        <x:f>IF(A93="","",Students!G93)</x:f>
      </x:c>
      <x:c r="D93" s="17" t="str">
        <x:f>IF(A93="","",Students!H93)</x:f>
      </x:c>
      <x:c r="E93" s="22" t="str">
        <x:f>IF(A93="","",COUNTIFS(Late_Transactions!E:E,A93,Late_Transactions!K:K,"Recorded"))</x:f>
      </x:c>
      <x:c r="F93" s="21" t="n">
        <x:f>IFERROR(MAXIFS(Late_Transactions!C:C,Late_Transactions!E:E,A93,Late_Transactions!K:K,"Recorded"),"")</x:f>
        <x:v>0</x:v>
      </x:c>
      <x:c r="G93" s="17" t="str">
        <x:f>IF(E93="","",IF(E93&gt;=5,"High",IF(E93&gt;=3,"Watch","OK")))</x:f>
      </x:c>
    </x:row>
    <x:row r="94">
      <x:c r="A94" s="17" t="str">
        <x:f>IF(Students!A94="","",Students!A94)</x:f>
      </x:c>
      <x:c r="B94" s="17" t="str">
        <x:f>IF(A94="","",Students!F94)</x:f>
      </x:c>
      <x:c r="C94" s="17" t="str">
        <x:f>IF(A94="","",Students!G94)</x:f>
      </x:c>
      <x:c r="D94" s="17" t="str">
        <x:f>IF(A94="","",Students!H94)</x:f>
      </x:c>
      <x:c r="E94" s="22" t="str">
        <x:f>IF(A94="","",COUNTIFS(Late_Transactions!E:E,A94,Late_Transactions!K:K,"Recorded"))</x:f>
      </x:c>
      <x:c r="F94" s="21" t="n">
        <x:f>IFERROR(MAXIFS(Late_Transactions!C:C,Late_Transactions!E:E,A94,Late_Transactions!K:K,"Recorded"),"")</x:f>
        <x:v>0</x:v>
      </x:c>
      <x:c r="G94" s="17" t="str">
        <x:f>IF(E94="","",IF(E94&gt;=5,"High",IF(E94&gt;=3,"Watch","OK")))</x:f>
      </x:c>
    </x:row>
    <x:row r="95">
      <x:c r="A95" s="17" t="str">
        <x:f>IF(Students!A95="","",Students!A95)</x:f>
      </x:c>
      <x:c r="B95" s="17" t="str">
        <x:f>IF(A95="","",Students!F95)</x:f>
      </x:c>
      <x:c r="C95" s="17" t="str">
        <x:f>IF(A95="","",Students!G95)</x:f>
      </x:c>
      <x:c r="D95" s="17" t="str">
        <x:f>IF(A95="","",Students!H95)</x:f>
      </x:c>
      <x:c r="E95" s="22" t="str">
        <x:f>IF(A95="","",COUNTIFS(Late_Transactions!E:E,A95,Late_Transactions!K:K,"Recorded"))</x:f>
      </x:c>
      <x:c r="F95" s="21" t="n">
        <x:f>IFERROR(MAXIFS(Late_Transactions!C:C,Late_Transactions!E:E,A95,Late_Transactions!K:K,"Recorded"),"")</x:f>
        <x:v>0</x:v>
      </x:c>
      <x:c r="G95" s="17" t="str">
        <x:f>IF(E95="","",IF(E95&gt;=5,"High",IF(E95&gt;=3,"Watch","OK")))</x:f>
      </x:c>
    </x:row>
    <x:row r="96">
      <x:c r="A96" s="17" t="str">
        <x:f>IF(Students!A96="","",Students!A96)</x:f>
      </x:c>
      <x:c r="B96" s="17" t="str">
        <x:f>IF(A96="","",Students!F96)</x:f>
      </x:c>
      <x:c r="C96" s="17" t="str">
        <x:f>IF(A96="","",Students!G96)</x:f>
      </x:c>
      <x:c r="D96" s="17" t="str">
        <x:f>IF(A96="","",Students!H96)</x:f>
      </x:c>
      <x:c r="E96" s="22" t="str">
        <x:f>IF(A96="","",COUNTIFS(Late_Transactions!E:E,A96,Late_Transactions!K:K,"Recorded"))</x:f>
      </x:c>
      <x:c r="F96" s="21" t="n">
        <x:f>IFERROR(MAXIFS(Late_Transactions!C:C,Late_Transactions!E:E,A96,Late_Transactions!K:K,"Recorded"),"")</x:f>
        <x:v>0</x:v>
      </x:c>
      <x:c r="G96" s="17" t="str">
        <x:f>IF(E96="","",IF(E96&gt;=5,"High",IF(E96&gt;=3,"Watch","OK")))</x:f>
      </x:c>
    </x:row>
    <x:row r="97">
      <x:c r="A97" s="17" t="str">
        <x:f>IF(Students!A97="","",Students!A97)</x:f>
      </x:c>
      <x:c r="B97" s="17" t="str">
        <x:f>IF(A97="","",Students!F97)</x:f>
      </x:c>
      <x:c r="C97" s="17" t="str">
        <x:f>IF(A97="","",Students!G97)</x:f>
      </x:c>
      <x:c r="D97" s="17" t="str">
        <x:f>IF(A97="","",Students!H97)</x:f>
      </x:c>
      <x:c r="E97" s="22" t="str">
        <x:f>IF(A97="","",COUNTIFS(Late_Transactions!E:E,A97,Late_Transactions!K:K,"Recorded"))</x:f>
      </x:c>
      <x:c r="F97" s="21" t="n">
        <x:f>IFERROR(MAXIFS(Late_Transactions!C:C,Late_Transactions!E:E,A97,Late_Transactions!K:K,"Recorded"),"")</x:f>
        <x:v>0</x:v>
      </x:c>
      <x:c r="G97" s="17" t="str">
        <x:f>IF(E97="","",IF(E97&gt;=5,"High",IF(E97&gt;=3,"Watch","OK")))</x:f>
      </x:c>
    </x:row>
    <x:row r="98">
      <x:c r="A98" s="17" t="str">
        <x:f>IF(Students!A98="","",Students!A98)</x:f>
      </x:c>
      <x:c r="B98" s="17" t="str">
        <x:f>IF(A98="","",Students!F98)</x:f>
      </x:c>
      <x:c r="C98" s="17" t="str">
        <x:f>IF(A98="","",Students!G98)</x:f>
      </x:c>
      <x:c r="D98" s="17" t="str">
        <x:f>IF(A98="","",Students!H98)</x:f>
      </x:c>
      <x:c r="E98" s="22" t="str">
        <x:f>IF(A98="","",COUNTIFS(Late_Transactions!E:E,A98,Late_Transactions!K:K,"Recorded"))</x:f>
      </x:c>
      <x:c r="F98" s="21" t="n">
        <x:f>IFERROR(MAXIFS(Late_Transactions!C:C,Late_Transactions!E:E,A98,Late_Transactions!K:K,"Recorded"),"")</x:f>
        <x:v>0</x:v>
      </x:c>
      <x:c r="G98" s="17" t="str">
        <x:f>IF(E98="","",IF(E98&gt;=5,"High",IF(E98&gt;=3,"Watch","OK")))</x:f>
      </x:c>
    </x:row>
    <x:row r="99">
      <x:c r="A99" s="17" t="str">
        <x:f>IF(Students!A99="","",Students!A99)</x:f>
      </x:c>
      <x:c r="B99" s="17" t="str">
        <x:f>IF(A99="","",Students!F99)</x:f>
      </x:c>
      <x:c r="C99" s="17" t="str">
        <x:f>IF(A99="","",Students!G99)</x:f>
      </x:c>
      <x:c r="D99" s="17" t="str">
        <x:f>IF(A99="","",Students!H99)</x:f>
      </x:c>
      <x:c r="E99" s="22" t="str">
        <x:f>IF(A99="","",COUNTIFS(Late_Transactions!E:E,A99,Late_Transactions!K:K,"Recorded"))</x:f>
      </x:c>
      <x:c r="F99" s="21" t="n">
        <x:f>IFERROR(MAXIFS(Late_Transactions!C:C,Late_Transactions!E:E,A99,Late_Transactions!K:K,"Recorded"),"")</x:f>
        <x:v>0</x:v>
      </x:c>
      <x:c r="G99" s="17" t="str">
        <x:f>IF(E99="","",IF(E99&gt;=5,"High",IF(E99&gt;=3,"Watch","OK")))</x:f>
      </x:c>
    </x:row>
    <x:row r="100">
      <x:c r="A100" s="17" t="str">
        <x:f>IF(Students!A100="","",Students!A100)</x:f>
      </x:c>
      <x:c r="B100" s="17" t="str">
        <x:f>IF(A100="","",Students!F100)</x:f>
      </x:c>
      <x:c r="C100" s="17" t="str">
        <x:f>IF(A100="","",Students!G100)</x:f>
      </x:c>
      <x:c r="D100" s="17" t="str">
        <x:f>IF(A100="","",Students!H100)</x:f>
      </x:c>
      <x:c r="E100" s="22" t="str">
        <x:f>IF(A100="","",COUNTIFS(Late_Transactions!E:E,A100,Late_Transactions!K:K,"Recorded"))</x:f>
      </x:c>
      <x:c r="F100" s="21" t="n">
        <x:f>IFERROR(MAXIFS(Late_Transactions!C:C,Late_Transactions!E:E,A100,Late_Transactions!K:K,"Recorded"),"")</x:f>
        <x:v>0</x:v>
      </x:c>
      <x:c r="G100" s="17" t="str">
        <x:f>IF(E100="","",IF(E100&gt;=5,"High",IF(E100&gt;=3,"Watch","OK")))</x:f>
      </x:c>
    </x:row>
    <x:row r="101">
      <x:c r="A101" s="17" t="str">
        <x:f>IF(Students!A101="","",Students!A101)</x:f>
      </x:c>
      <x:c r="B101" s="17" t="str">
        <x:f>IF(A101="","",Students!F101)</x:f>
      </x:c>
      <x:c r="C101" s="17" t="str">
        <x:f>IF(A101="","",Students!G101)</x:f>
      </x:c>
      <x:c r="D101" s="17" t="str">
        <x:f>IF(A101="","",Students!H101)</x:f>
      </x:c>
      <x:c r="E101" s="22" t="str">
        <x:f>IF(A101="","",COUNTIFS(Late_Transactions!E:E,A101,Late_Transactions!K:K,"Recorded"))</x:f>
      </x:c>
      <x:c r="F101" s="21" t="n">
        <x:f>IFERROR(MAXIFS(Late_Transactions!C:C,Late_Transactions!E:E,A101,Late_Transactions!K:K,"Recorded"),"")</x:f>
        <x:v>0</x:v>
      </x:c>
      <x:c r="G101" s="17" t="str">
        <x:f>IF(E101="","",IF(E101&gt;=5,"High",IF(E101&gt;=3,"Watch","OK")))</x:f>
      </x:c>
    </x:row>
    <x:row r="102">
      <x:c r="A102" s="17" t="str">
        <x:f>IF(Students!A102="","",Students!A102)</x:f>
      </x:c>
      <x:c r="B102" s="17" t="str">
        <x:f>IF(A102="","",Students!F102)</x:f>
      </x:c>
      <x:c r="C102" s="17" t="str">
        <x:f>IF(A102="","",Students!G102)</x:f>
      </x:c>
      <x:c r="D102" s="17" t="str">
        <x:f>IF(A102="","",Students!H102)</x:f>
      </x:c>
      <x:c r="E102" s="22" t="str">
        <x:f>IF(A102="","",COUNTIFS(Late_Transactions!E:E,A102,Late_Transactions!K:K,"Recorded"))</x:f>
      </x:c>
      <x:c r="F102" s="21" t="n">
        <x:f>IFERROR(MAXIFS(Late_Transactions!C:C,Late_Transactions!E:E,A102,Late_Transactions!K:K,"Recorded"),"")</x:f>
        <x:v>0</x:v>
      </x:c>
      <x:c r="G102" s="17" t="str">
        <x:f>IF(E102="","",IF(E102&gt;=5,"High",IF(E102&gt;=3,"Watch","OK")))</x:f>
      </x:c>
    </x:row>
    <x:row r="103">
      <x:c r="A103" s="17" t="str">
        <x:f>IF(Students!A103="","",Students!A103)</x:f>
      </x:c>
      <x:c r="B103" s="17" t="str">
        <x:f>IF(A103="","",Students!F103)</x:f>
      </x:c>
      <x:c r="C103" s="17" t="str">
        <x:f>IF(A103="","",Students!G103)</x:f>
      </x:c>
      <x:c r="D103" s="17" t="str">
        <x:f>IF(A103="","",Students!H103)</x:f>
      </x:c>
      <x:c r="E103" s="22" t="str">
        <x:f>IF(A103="","",COUNTIFS(Late_Transactions!E:E,A103,Late_Transactions!K:K,"Recorded"))</x:f>
      </x:c>
      <x:c r="F103" s="21" t="n">
        <x:f>IFERROR(MAXIFS(Late_Transactions!C:C,Late_Transactions!E:E,A103,Late_Transactions!K:K,"Recorded"),"")</x:f>
        <x:v>0</x:v>
      </x:c>
      <x:c r="G103" s="17" t="str">
        <x:f>IF(E103="","",IF(E103&gt;=5,"High",IF(E103&gt;=3,"Watch","OK")))</x:f>
      </x:c>
    </x:row>
    <x:row r="104">
      <x:c r="A104" s="17" t="str">
        <x:f>IF(Students!A104="","",Students!A104)</x:f>
      </x:c>
      <x:c r="B104" s="17" t="str">
        <x:f>IF(A104="","",Students!F104)</x:f>
      </x:c>
      <x:c r="C104" s="17" t="str">
        <x:f>IF(A104="","",Students!G104)</x:f>
      </x:c>
      <x:c r="D104" s="17" t="str">
        <x:f>IF(A104="","",Students!H104)</x:f>
      </x:c>
      <x:c r="E104" s="22" t="str">
        <x:f>IF(A104="","",COUNTIFS(Late_Transactions!E:E,A104,Late_Transactions!K:K,"Recorded"))</x:f>
      </x:c>
      <x:c r="F104" s="21" t="n">
        <x:f>IFERROR(MAXIFS(Late_Transactions!C:C,Late_Transactions!E:E,A104,Late_Transactions!K:K,"Recorded"),"")</x:f>
        <x:v>0</x:v>
      </x:c>
      <x:c r="G104" s="17" t="str">
        <x:f>IF(E104="","",IF(E104&gt;=5,"High",IF(E104&gt;=3,"Watch","OK")))</x:f>
      </x:c>
    </x:row>
    <x:row r="105">
      <x:c r="A105" s="17" t="str">
        <x:f>IF(Students!A105="","",Students!A105)</x:f>
      </x:c>
      <x:c r="B105" s="17" t="str">
        <x:f>IF(A105="","",Students!F105)</x:f>
      </x:c>
      <x:c r="C105" s="17" t="str">
        <x:f>IF(A105="","",Students!G105)</x:f>
      </x:c>
      <x:c r="D105" s="17" t="str">
        <x:f>IF(A105="","",Students!H105)</x:f>
      </x:c>
      <x:c r="E105" s="22" t="str">
        <x:f>IF(A105="","",COUNTIFS(Late_Transactions!E:E,A105,Late_Transactions!K:K,"Recorded"))</x:f>
      </x:c>
      <x:c r="F105" s="21" t="n">
        <x:f>IFERROR(MAXIFS(Late_Transactions!C:C,Late_Transactions!E:E,A105,Late_Transactions!K:K,"Recorded"),"")</x:f>
        <x:v>0</x:v>
      </x:c>
      <x:c r="G105" s="17" t="str">
        <x:f>IF(E105="","",IF(E105&gt;=5,"High",IF(E105&gt;=3,"Watch","OK")))</x:f>
      </x:c>
    </x:row>
    <x:row r="106">
      <x:c r="A106" s="17" t="str">
        <x:f>IF(Students!A106="","",Students!A106)</x:f>
      </x:c>
      <x:c r="B106" s="17" t="str">
        <x:f>IF(A106="","",Students!F106)</x:f>
      </x:c>
      <x:c r="C106" s="17" t="str">
        <x:f>IF(A106="","",Students!G106)</x:f>
      </x:c>
      <x:c r="D106" s="17" t="str">
        <x:f>IF(A106="","",Students!H106)</x:f>
      </x:c>
      <x:c r="E106" s="22" t="str">
        <x:f>IF(A106="","",COUNTIFS(Late_Transactions!E:E,A106,Late_Transactions!K:K,"Recorded"))</x:f>
      </x:c>
      <x:c r="F106" s="21" t="n">
        <x:f>IFERROR(MAXIFS(Late_Transactions!C:C,Late_Transactions!E:E,A106,Late_Transactions!K:K,"Recorded"),"")</x:f>
        <x:v>0</x:v>
      </x:c>
      <x:c r="G106" s="17" t="str">
        <x:f>IF(E106="","",IF(E106&gt;=5,"High",IF(E106&gt;=3,"Watch","OK")))</x:f>
      </x:c>
    </x:row>
    <x:row r="107">
      <x:c r="A107" s="17" t="str">
        <x:f>IF(Students!A107="","",Students!A107)</x:f>
      </x:c>
      <x:c r="B107" s="17" t="str">
        <x:f>IF(A107="","",Students!F107)</x:f>
      </x:c>
      <x:c r="C107" s="17" t="str">
        <x:f>IF(A107="","",Students!G107)</x:f>
      </x:c>
      <x:c r="D107" s="17" t="str">
        <x:f>IF(A107="","",Students!H107)</x:f>
      </x:c>
      <x:c r="E107" s="22" t="str">
        <x:f>IF(A107="","",COUNTIFS(Late_Transactions!E:E,A107,Late_Transactions!K:K,"Recorded"))</x:f>
      </x:c>
      <x:c r="F107" s="21" t="n">
        <x:f>IFERROR(MAXIFS(Late_Transactions!C:C,Late_Transactions!E:E,A107,Late_Transactions!K:K,"Recorded"),"")</x:f>
        <x:v>0</x:v>
      </x:c>
      <x:c r="G107" s="17" t="str">
        <x:f>IF(E107="","",IF(E107&gt;=5,"High",IF(E107&gt;=3,"Watch","OK")))</x:f>
      </x:c>
    </x:row>
    <x:row r="108">
      <x:c r="A108" s="17" t="str">
        <x:f>IF(Students!A108="","",Students!A108)</x:f>
      </x:c>
      <x:c r="B108" s="17" t="str">
        <x:f>IF(A108="","",Students!F108)</x:f>
      </x:c>
      <x:c r="C108" s="17" t="str">
        <x:f>IF(A108="","",Students!G108)</x:f>
      </x:c>
      <x:c r="D108" s="17" t="str">
        <x:f>IF(A108="","",Students!H108)</x:f>
      </x:c>
      <x:c r="E108" s="22" t="str">
        <x:f>IF(A108="","",COUNTIFS(Late_Transactions!E:E,A108,Late_Transactions!K:K,"Recorded"))</x:f>
      </x:c>
      <x:c r="F108" s="21" t="n">
        <x:f>IFERROR(MAXIFS(Late_Transactions!C:C,Late_Transactions!E:E,A108,Late_Transactions!K:K,"Recorded"),"")</x:f>
        <x:v>0</x:v>
      </x:c>
      <x:c r="G108" s="17" t="str">
        <x:f>IF(E108="","",IF(E108&gt;=5,"High",IF(E108&gt;=3,"Watch","OK")))</x:f>
      </x:c>
    </x:row>
    <x:row r="109">
      <x:c r="A109" s="17" t="str">
        <x:f>IF(Students!A109="","",Students!A109)</x:f>
      </x:c>
      <x:c r="B109" s="17" t="str">
        <x:f>IF(A109="","",Students!F109)</x:f>
      </x:c>
      <x:c r="C109" s="17" t="str">
        <x:f>IF(A109="","",Students!G109)</x:f>
      </x:c>
      <x:c r="D109" s="17" t="str">
        <x:f>IF(A109="","",Students!H109)</x:f>
      </x:c>
      <x:c r="E109" s="22" t="str">
        <x:f>IF(A109="","",COUNTIFS(Late_Transactions!E:E,A109,Late_Transactions!K:K,"Recorded"))</x:f>
      </x:c>
      <x:c r="F109" s="21" t="n">
        <x:f>IFERROR(MAXIFS(Late_Transactions!C:C,Late_Transactions!E:E,A109,Late_Transactions!K:K,"Recorded"),"")</x:f>
        <x:v>0</x:v>
      </x:c>
      <x:c r="G109" s="17" t="str">
        <x:f>IF(E109="","",IF(E109&gt;=5,"High",IF(E109&gt;=3,"Watch","OK")))</x:f>
      </x:c>
    </x:row>
    <x:row r="110">
      <x:c r="A110" s="17" t="str">
        <x:f>IF(Students!A110="","",Students!A110)</x:f>
      </x:c>
      <x:c r="B110" s="17" t="str">
        <x:f>IF(A110="","",Students!F110)</x:f>
      </x:c>
      <x:c r="C110" s="17" t="str">
        <x:f>IF(A110="","",Students!G110)</x:f>
      </x:c>
      <x:c r="D110" s="17" t="str">
        <x:f>IF(A110="","",Students!H110)</x:f>
      </x:c>
      <x:c r="E110" s="22" t="str">
        <x:f>IF(A110="","",COUNTIFS(Late_Transactions!E:E,A110,Late_Transactions!K:K,"Recorded"))</x:f>
      </x:c>
      <x:c r="F110" s="21" t="n">
        <x:f>IFERROR(MAXIFS(Late_Transactions!C:C,Late_Transactions!E:E,A110,Late_Transactions!K:K,"Recorded"),"")</x:f>
        <x:v>0</x:v>
      </x:c>
      <x:c r="G110" s="17" t="str">
        <x:f>IF(E110="","",IF(E110&gt;=5,"High",IF(E110&gt;=3,"Watch","OK")))</x:f>
      </x:c>
    </x:row>
    <x:row r="111">
      <x:c r="A111" s="17" t="str">
        <x:f>IF(Students!A111="","",Students!A111)</x:f>
      </x:c>
      <x:c r="B111" s="17" t="str">
        <x:f>IF(A111="","",Students!F111)</x:f>
      </x:c>
      <x:c r="C111" s="17" t="str">
        <x:f>IF(A111="","",Students!G111)</x:f>
      </x:c>
      <x:c r="D111" s="17" t="str">
        <x:f>IF(A111="","",Students!H111)</x:f>
      </x:c>
      <x:c r="E111" s="22" t="str">
        <x:f>IF(A111="","",COUNTIFS(Late_Transactions!E:E,A111,Late_Transactions!K:K,"Recorded"))</x:f>
      </x:c>
      <x:c r="F111" s="21" t="n">
        <x:f>IFERROR(MAXIFS(Late_Transactions!C:C,Late_Transactions!E:E,A111,Late_Transactions!K:K,"Recorded"),"")</x:f>
        <x:v>0</x:v>
      </x:c>
      <x:c r="G111" s="17" t="str">
        <x:f>IF(E111="","",IF(E111&gt;=5,"High",IF(E111&gt;=3,"Watch","OK")))</x:f>
      </x:c>
    </x:row>
    <x:row r="112">
      <x:c r="A112" s="17" t="str">
        <x:f>IF(Students!A112="","",Students!A112)</x:f>
      </x:c>
      <x:c r="B112" s="17" t="str">
        <x:f>IF(A112="","",Students!F112)</x:f>
      </x:c>
      <x:c r="C112" s="17" t="str">
        <x:f>IF(A112="","",Students!G112)</x:f>
      </x:c>
      <x:c r="D112" s="17" t="str">
        <x:f>IF(A112="","",Students!H112)</x:f>
      </x:c>
      <x:c r="E112" s="22" t="str">
        <x:f>IF(A112="","",COUNTIFS(Late_Transactions!E:E,A112,Late_Transactions!K:K,"Recorded"))</x:f>
      </x:c>
      <x:c r="F112" s="21" t="n">
        <x:f>IFERROR(MAXIFS(Late_Transactions!C:C,Late_Transactions!E:E,A112,Late_Transactions!K:K,"Recorded"),"")</x:f>
        <x:v>0</x:v>
      </x:c>
      <x:c r="G112" s="17" t="str">
        <x:f>IF(E112="","",IF(E112&gt;=5,"High",IF(E112&gt;=3,"Watch","OK")))</x:f>
      </x:c>
    </x:row>
    <x:row r="113">
      <x:c r="A113" s="17" t="str">
        <x:f>IF(Students!A113="","",Students!A113)</x:f>
      </x:c>
      <x:c r="B113" s="17" t="str">
        <x:f>IF(A113="","",Students!F113)</x:f>
      </x:c>
      <x:c r="C113" s="17" t="str">
        <x:f>IF(A113="","",Students!G113)</x:f>
      </x:c>
      <x:c r="D113" s="17" t="str">
        <x:f>IF(A113="","",Students!H113)</x:f>
      </x:c>
      <x:c r="E113" s="22" t="str">
        <x:f>IF(A113="","",COUNTIFS(Late_Transactions!E:E,A113,Late_Transactions!K:K,"Recorded"))</x:f>
      </x:c>
      <x:c r="F113" s="21" t="n">
        <x:f>IFERROR(MAXIFS(Late_Transactions!C:C,Late_Transactions!E:E,A113,Late_Transactions!K:K,"Recorded"),"")</x:f>
        <x:v>0</x:v>
      </x:c>
      <x:c r="G113" s="17" t="str">
        <x:f>IF(E113="","",IF(E113&gt;=5,"High",IF(E113&gt;=3,"Watch","OK")))</x:f>
      </x:c>
    </x:row>
    <x:row r="114">
      <x:c r="A114" s="17" t="str">
        <x:f>IF(Students!A114="","",Students!A114)</x:f>
      </x:c>
      <x:c r="B114" s="17" t="str">
        <x:f>IF(A114="","",Students!F114)</x:f>
      </x:c>
      <x:c r="C114" s="17" t="str">
        <x:f>IF(A114="","",Students!G114)</x:f>
      </x:c>
      <x:c r="D114" s="17" t="str">
        <x:f>IF(A114="","",Students!H114)</x:f>
      </x:c>
      <x:c r="E114" s="22" t="str">
        <x:f>IF(A114="","",COUNTIFS(Late_Transactions!E:E,A114,Late_Transactions!K:K,"Recorded"))</x:f>
      </x:c>
      <x:c r="F114" s="21" t="n">
        <x:f>IFERROR(MAXIFS(Late_Transactions!C:C,Late_Transactions!E:E,A114,Late_Transactions!K:K,"Recorded"),"")</x:f>
        <x:v>0</x:v>
      </x:c>
      <x:c r="G114" s="17" t="str">
        <x:f>IF(E114="","",IF(E114&gt;=5,"High",IF(E114&gt;=3,"Watch","OK")))</x:f>
      </x:c>
    </x:row>
    <x:row r="115">
      <x:c r="A115" s="17" t="str">
        <x:f>IF(Students!A115="","",Students!A115)</x:f>
      </x:c>
      <x:c r="B115" s="17" t="str">
        <x:f>IF(A115="","",Students!F115)</x:f>
      </x:c>
      <x:c r="C115" s="17" t="str">
        <x:f>IF(A115="","",Students!G115)</x:f>
      </x:c>
      <x:c r="D115" s="17" t="str">
        <x:f>IF(A115="","",Students!H115)</x:f>
      </x:c>
      <x:c r="E115" s="22" t="str">
        <x:f>IF(A115="","",COUNTIFS(Late_Transactions!E:E,A115,Late_Transactions!K:K,"Recorded"))</x:f>
      </x:c>
      <x:c r="F115" s="21" t="n">
        <x:f>IFERROR(MAXIFS(Late_Transactions!C:C,Late_Transactions!E:E,A115,Late_Transactions!K:K,"Recorded"),"")</x:f>
        <x:v>0</x:v>
      </x:c>
      <x:c r="G115" s="17" t="str">
        <x:f>IF(E115="","",IF(E115&gt;=5,"High",IF(E115&gt;=3,"Watch","OK")))</x:f>
      </x:c>
    </x:row>
    <x:row r="116">
      <x:c r="A116" s="17" t="str">
        <x:f>IF(Students!A116="","",Students!A116)</x:f>
      </x:c>
      <x:c r="B116" s="17" t="str">
        <x:f>IF(A116="","",Students!F116)</x:f>
      </x:c>
      <x:c r="C116" s="17" t="str">
        <x:f>IF(A116="","",Students!G116)</x:f>
      </x:c>
      <x:c r="D116" s="17" t="str">
        <x:f>IF(A116="","",Students!H116)</x:f>
      </x:c>
      <x:c r="E116" s="22" t="str">
        <x:f>IF(A116="","",COUNTIFS(Late_Transactions!E:E,A116,Late_Transactions!K:K,"Recorded"))</x:f>
      </x:c>
      <x:c r="F116" s="21" t="n">
        <x:f>IFERROR(MAXIFS(Late_Transactions!C:C,Late_Transactions!E:E,A116,Late_Transactions!K:K,"Recorded"),"")</x:f>
        <x:v>0</x:v>
      </x:c>
      <x:c r="G116" s="17" t="str">
        <x:f>IF(E116="","",IF(E116&gt;=5,"High",IF(E116&gt;=3,"Watch","OK")))</x:f>
      </x:c>
    </x:row>
    <x:row r="117">
      <x:c r="A117" s="17" t="str">
        <x:f>IF(Students!A117="","",Students!A117)</x:f>
      </x:c>
      <x:c r="B117" s="17" t="str">
        <x:f>IF(A117="","",Students!F117)</x:f>
      </x:c>
      <x:c r="C117" s="17" t="str">
        <x:f>IF(A117="","",Students!G117)</x:f>
      </x:c>
      <x:c r="D117" s="17" t="str">
        <x:f>IF(A117="","",Students!H117)</x:f>
      </x:c>
      <x:c r="E117" s="22" t="str">
        <x:f>IF(A117="","",COUNTIFS(Late_Transactions!E:E,A117,Late_Transactions!K:K,"Recorded"))</x:f>
      </x:c>
      <x:c r="F117" s="21" t="n">
        <x:f>IFERROR(MAXIFS(Late_Transactions!C:C,Late_Transactions!E:E,A117,Late_Transactions!K:K,"Recorded"),"")</x:f>
        <x:v>0</x:v>
      </x:c>
      <x:c r="G117" s="17" t="str">
        <x:f>IF(E117="","",IF(E117&gt;=5,"High",IF(E117&gt;=3,"Watch","OK")))</x:f>
      </x:c>
    </x:row>
    <x:row r="118">
      <x:c r="A118" s="17" t="str">
        <x:f>IF(Students!A118="","",Students!A118)</x:f>
      </x:c>
      <x:c r="B118" s="17" t="str">
        <x:f>IF(A118="","",Students!F118)</x:f>
      </x:c>
      <x:c r="C118" s="17" t="str">
        <x:f>IF(A118="","",Students!G118)</x:f>
      </x:c>
      <x:c r="D118" s="17" t="str">
        <x:f>IF(A118="","",Students!H118)</x:f>
      </x:c>
      <x:c r="E118" s="22" t="str">
        <x:f>IF(A118="","",COUNTIFS(Late_Transactions!E:E,A118,Late_Transactions!K:K,"Recorded"))</x:f>
      </x:c>
      <x:c r="F118" s="21" t="n">
        <x:f>IFERROR(MAXIFS(Late_Transactions!C:C,Late_Transactions!E:E,A118,Late_Transactions!K:K,"Recorded"),"")</x:f>
        <x:v>0</x:v>
      </x:c>
      <x:c r="G118" s="17" t="str">
        <x:f>IF(E118="","",IF(E118&gt;=5,"High",IF(E118&gt;=3,"Watch","OK")))</x:f>
      </x:c>
    </x:row>
    <x:row r="119">
      <x:c r="A119" s="17" t="str">
        <x:f>IF(Students!A119="","",Students!A119)</x:f>
      </x:c>
      <x:c r="B119" s="17" t="str">
        <x:f>IF(A119="","",Students!F119)</x:f>
      </x:c>
      <x:c r="C119" s="17" t="str">
        <x:f>IF(A119="","",Students!G119)</x:f>
      </x:c>
      <x:c r="D119" s="17" t="str">
        <x:f>IF(A119="","",Students!H119)</x:f>
      </x:c>
      <x:c r="E119" s="22" t="str">
        <x:f>IF(A119="","",COUNTIFS(Late_Transactions!E:E,A119,Late_Transactions!K:K,"Recorded"))</x:f>
      </x:c>
      <x:c r="F119" s="21" t="n">
        <x:f>IFERROR(MAXIFS(Late_Transactions!C:C,Late_Transactions!E:E,A119,Late_Transactions!K:K,"Recorded"),"")</x:f>
        <x:v>0</x:v>
      </x:c>
      <x:c r="G119" s="17" t="str">
        <x:f>IF(E119="","",IF(E119&gt;=5,"High",IF(E119&gt;=3,"Watch","OK")))</x:f>
      </x:c>
    </x:row>
    <x:row r="120">
      <x:c r="A120" s="17" t="str">
        <x:f>IF(Students!A120="","",Students!A120)</x:f>
      </x:c>
      <x:c r="B120" s="17" t="str">
        <x:f>IF(A120="","",Students!F120)</x:f>
      </x:c>
      <x:c r="C120" s="17" t="str">
        <x:f>IF(A120="","",Students!G120)</x:f>
      </x:c>
      <x:c r="D120" s="17" t="str">
        <x:f>IF(A120="","",Students!H120)</x:f>
      </x:c>
      <x:c r="E120" s="22" t="str">
        <x:f>IF(A120="","",COUNTIFS(Late_Transactions!E:E,A120,Late_Transactions!K:K,"Recorded"))</x:f>
      </x:c>
      <x:c r="F120" s="21" t="n">
        <x:f>IFERROR(MAXIFS(Late_Transactions!C:C,Late_Transactions!E:E,A120,Late_Transactions!K:K,"Recorded"),"")</x:f>
        <x:v>0</x:v>
      </x:c>
      <x:c r="G120" s="17" t="str">
        <x:f>IF(E120="","",IF(E120&gt;=5,"High",IF(E120&gt;=3,"Watch","OK")))</x:f>
      </x:c>
    </x:row>
    <x:row r="121">
      <x:c r="A121" s="17" t="str">
        <x:f>IF(Students!A121="","",Students!A121)</x:f>
      </x:c>
      <x:c r="B121" s="17" t="str">
        <x:f>IF(A121="","",Students!F121)</x:f>
      </x:c>
      <x:c r="C121" s="17" t="str">
        <x:f>IF(A121="","",Students!G121)</x:f>
      </x:c>
      <x:c r="D121" s="17" t="str">
        <x:f>IF(A121="","",Students!H121)</x:f>
      </x:c>
      <x:c r="E121" s="22" t="str">
        <x:f>IF(A121="","",COUNTIFS(Late_Transactions!E:E,A121,Late_Transactions!K:K,"Recorded"))</x:f>
      </x:c>
      <x:c r="F121" s="21" t="n">
        <x:f>IFERROR(MAXIFS(Late_Transactions!C:C,Late_Transactions!E:E,A121,Late_Transactions!K:K,"Recorded"),"")</x:f>
        <x:v>0</x:v>
      </x:c>
      <x:c r="G121" s="17" t="str">
        <x:f>IF(E121="","",IF(E121&gt;=5,"High",IF(E121&gt;=3,"Watch","OK")))</x:f>
      </x:c>
    </x:row>
    <x:row r="122">
      <x:c r="A122" s="17" t="str">
        <x:f>IF(Students!A122="","",Students!A122)</x:f>
      </x:c>
      <x:c r="B122" s="17" t="str">
        <x:f>IF(A122="","",Students!F122)</x:f>
      </x:c>
      <x:c r="C122" s="17" t="str">
        <x:f>IF(A122="","",Students!G122)</x:f>
      </x:c>
      <x:c r="D122" s="17" t="str">
        <x:f>IF(A122="","",Students!H122)</x:f>
      </x:c>
      <x:c r="E122" s="22" t="str">
        <x:f>IF(A122="","",COUNTIFS(Late_Transactions!E:E,A122,Late_Transactions!K:K,"Recorded"))</x:f>
      </x:c>
      <x:c r="F122" s="21" t="n">
        <x:f>IFERROR(MAXIFS(Late_Transactions!C:C,Late_Transactions!E:E,A122,Late_Transactions!K:K,"Recorded"),"")</x:f>
        <x:v>0</x:v>
      </x:c>
      <x:c r="G122" s="17" t="str">
        <x:f>IF(E122="","",IF(E122&gt;=5,"High",IF(E122&gt;=3,"Watch","OK")))</x:f>
      </x:c>
    </x:row>
    <x:row r="123">
      <x:c r="A123" s="17" t="str">
        <x:f>IF(Students!A123="","",Students!A123)</x:f>
      </x:c>
      <x:c r="B123" s="17" t="str">
        <x:f>IF(A123="","",Students!F123)</x:f>
      </x:c>
      <x:c r="C123" s="17" t="str">
        <x:f>IF(A123="","",Students!G123)</x:f>
      </x:c>
      <x:c r="D123" s="17" t="str">
        <x:f>IF(A123="","",Students!H123)</x:f>
      </x:c>
      <x:c r="E123" s="22" t="str">
        <x:f>IF(A123="","",COUNTIFS(Late_Transactions!E:E,A123,Late_Transactions!K:K,"Recorded"))</x:f>
      </x:c>
      <x:c r="F123" s="21" t="n">
        <x:f>IFERROR(MAXIFS(Late_Transactions!C:C,Late_Transactions!E:E,A123,Late_Transactions!K:K,"Recorded"),"")</x:f>
        <x:v>0</x:v>
      </x:c>
      <x:c r="G123" s="17" t="str">
        <x:f>IF(E123="","",IF(E123&gt;=5,"High",IF(E123&gt;=3,"Watch","OK")))</x:f>
      </x:c>
    </x:row>
    <x:row r="124">
      <x:c r="A124" s="17" t="str">
        <x:f>IF(Students!A124="","",Students!A124)</x:f>
      </x:c>
      <x:c r="B124" s="17" t="str">
        <x:f>IF(A124="","",Students!F124)</x:f>
      </x:c>
      <x:c r="C124" s="17" t="str">
        <x:f>IF(A124="","",Students!G124)</x:f>
      </x:c>
      <x:c r="D124" s="17" t="str">
        <x:f>IF(A124="","",Students!H124)</x:f>
      </x:c>
      <x:c r="E124" s="22" t="str">
        <x:f>IF(A124="","",COUNTIFS(Late_Transactions!E:E,A124,Late_Transactions!K:K,"Recorded"))</x:f>
      </x:c>
      <x:c r="F124" s="21" t="n">
        <x:f>IFERROR(MAXIFS(Late_Transactions!C:C,Late_Transactions!E:E,A124,Late_Transactions!K:K,"Recorded"),"")</x:f>
        <x:v>0</x:v>
      </x:c>
      <x:c r="G124" s="17" t="str">
        <x:f>IF(E124="","",IF(E124&gt;=5,"High",IF(E124&gt;=3,"Watch","OK")))</x:f>
      </x:c>
    </x:row>
    <x:row r="125">
      <x:c r="A125" s="17" t="str">
        <x:f>IF(Students!A125="","",Students!A125)</x:f>
      </x:c>
      <x:c r="B125" s="17" t="str">
        <x:f>IF(A125="","",Students!F125)</x:f>
      </x:c>
      <x:c r="C125" s="17" t="str">
        <x:f>IF(A125="","",Students!G125)</x:f>
      </x:c>
      <x:c r="D125" s="17" t="str">
        <x:f>IF(A125="","",Students!H125)</x:f>
      </x:c>
      <x:c r="E125" s="22" t="str">
        <x:f>IF(A125="","",COUNTIFS(Late_Transactions!E:E,A125,Late_Transactions!K:K,"Recorded"))</x:f>
      </x:c>
      <x:c r="F125" s="21" t="n">
        <x:f>IFERROR(MAXIFS(Late_Transactions!C:C,Late_Transactions!E:E,A125,Late_Transactions!K:K,"Recorded"),"")</x:f>
        <x:v>0</x:v>
      </x:c>
      <x:c r="G125" s="17" t="str">
        <x:f>IF(E125="","",IF(E125&gt;=5,"High",IF(E125&gt;=3,"Watch","OK")))</x:f>
      </x:c>
    </x:row>
    <x:row r="126">
      <x:c r="A126" s="17" t="str">
        <x:f>IF(Students!A126="","",Students!A126)</x:f>
      </x:c>
      <x:c r="B126" s="17" t="str">
        <x:f>IF(A126="","",Students!F126)</x:f>
      </x:c>
      <x:c r="C126" s="17" t="str">
        <x:f>IF(A126="","",Students!G126)</x:f>
      </x:c>
      <x:c r="D126" s="17" t="str">
        <x:f>IF(A126="","",Students!H126)</x:f>
      </x:c>
      <x:c r="E126" s="22" t="str">
        <x:f>IF(A126="","",COUNTIFS(Late_Transactions!E:E,A126,Late_Transactions!K:K,"Recorded"))</x:f>
      </x:c>
      <x:c r="F126" s="21" t="n">
        <x:f>IFERROR(MAXIFS(Late_Transactions!C:C,Late_Transactions!E:E,A126,Late_Transactions!K:K,"Recorded"),"")</x:f>
        <x:v>0</x:v>
      </x:c>
      <x:c r="G126" s="17" t="str">
        <x:f>IF(E126="","",IF(E126&gt;=5,"High",IF(E126&gt;=3,"Watch","OK")))</x:f>
      </x:c>
    </x:row>
    <x:row r="127">
      <x:c r="A127" s="17" t="str">
        <x:f>IF(Students!A127="","",Students!A127)</x:f>
      </x:c>
      <x:c r="B127" s="17" t="str">
        <x:f>IF(A127="","",Students!F127)</x:f>
      </x:c>
      <x:c r="C127" s="17" t="str">
        <x:f>IF(A127="","",Students!G127)</x:f>
      </x:c>
      <x:c r="D127" s="17" t="str">
        <x:f>IF(A127="","",Students!H127)</x:f>
      </x:c>
      <x:c r="E127" s="22" t="str">
        <x:f>IF(A127="","",COUNTIFS(Late_Transactions!E:E,A127,Late_Transactions!K:K,"Recorded"))</x:f>
      </x:c>
      <x:c r="F127" s="21" t="n">
        <x:f>IFERROR(MAXIFS(Late_Transactions!C:C,Late_Transactions!E:E,A127,Late_Transactions!K:K,"Recorded"),"")</x:f>
        <x:v>0</x:v>
      </x:c>
      <x:c r="G127" s="17" t="str">
        <x:f>IF(E127="","",IF(E127&gt;=5,"High",IF(E127&gt;=3,"Watch","OK")))</x:f>
      </x:c>
    </x:row>
    <x:row r="128">
      <x:c r="A128" s="17" t="str">
        <x:f>IF(Students!A128="","",Students!A128)</x:f>
      </x:c>
      <x:c r="B128" s="17" t="str">
        <x:f>IF(A128="","",Students!F128)</x:f>
      </x:c>
      <x:c r="C128" s="17" t="str">
        <x:f>IF(A128="","",Students!G128)</x:f>
      </x:c>
      <x:c r="D128" s="17" t="str">
        <x:f>IF(A128="","",Students!H128)</x:f>
      </x:c>
      <x:c r="E128" s="22" t="str">
        <x:f>IF(A128="","",COUNTIFS(Late_Transactions!E:E,A128,Late_Transactions!K:K,"Recorded"))</x:f>
      </x:c>
      <x:c r="F128" s="21" t="n">
        <x:f>IFERROR(MAXIFS(Late_Transactions!C:C,Late_Transactions!E:E,A128,Late_Transactions!K:K,"Recorded"),"")</x:f>
        <x:v>0</x:v>
      </x:c>
      <x:c r="G128" s="17" t="str">
        <x:f>IF(E128="","",IF(E128&gt;=5,"High",IF(E128&gt;=3,"Watch","OK")))</x:f>
      </x:c>
    </x:row>
    <x:row r="129">
      <x:c r="A129" s="17" t="str">
        <x:f>IF(Students!A129="","",Students!A129)</x:f>
      </x:c>
      <x:c r="B129" s="17" t="str">
        <x:f>IF(A129="","",Students!F129)</x:f>
      </x:c>
      <x:c r="C129" s="17" t="str">
        <x:f>IF(A129="","",Students!G129)</x:f>
      </x:c>
      <x:c r="D129" s="17" t="str">
        <x:f>IF(A129="","",Students!H129)</x:f>
      </x:c>
      <x:c r="E129" s="22" t="str">
        <x:f>IF(A129="","",COUNTIFS(Late_Transactions!E:E,A129,Late_Transactions!K:K,"Recorded"))</x:f>
      </x:c>
      <x:c r="F129" s="21" t="n">
        <x:f>IFERROR(MAXIFS(Late_Transactions!C:C,Late_Transactions!E:E,A129,Late_Transactions!K:K,"Recorded"),"")</x:f>
        <x:v>0</x:v>
      </x:c>
      <x:c r="G129" s="17" t="str">
        <x:f>IF(E129="","",IF(E129&gt;=5,"High",IF(E129&gt;=3,"Watch","OK")))</x:f>
      </x:c>
    </x:row>
    <x:row r="130">
      <x:c r="A130" s="17" t="str">
        <x:f>IF(Students!A130="","",Students!A130)</x:f>
      </x:c>
      <x:c r="B130" s="17" t="str">
        <x:f>IF(A130="","",Students!F130)</x:f>
      </x:c>
      <x:c r="C130" s="17" t="str">
        <x:f>IF(A130="","",Students!G130)</x:f>
      </x:c>
      <x:c r="D130" s="17" t="str">
        <x:f>IF(A130="","",Students!H130)</x:f>
      </x:c>
      <x:c r="E130" s="22" t="str">
        <x:f>IF(A130="","",COUNTIFS(Late_Transactions!E:E,A130,Late_Transactions!K:K,"Recorded"))</x:f>
      </x:c>
      <x:c r="F130" s="21" t="n">
        <x:f>IFERROR(MAXIFS(Late_Transactions!C:C,Late_Transactions!E:E,A130,Late_Transactions!K:K,"Recorded"),"")</x:f>
        <x:v>0</x:v>
      </x:c>
      <x:c r="G130" s="17" t="str">
        <x:f>IF(E130="","",IF(E130&gt;=5,"High",IF(E130&gt;=3,"Watch","OK")))</x:f>
      </x:c>
    </x:row>
    <x:row r="131">
      <x:c r="A131" s="17" t="str">
        <x:f>IF(Students!A131="","",Students!A131)</x:f>
      </x:c>
      <x:c r="B131" s="17" t="str">
        <x:f>IF(A131="","",Students!F131)</x:f>
      </x:c>
      <x:c r="C131" s="17" t="str">
        <x:f>IF(A131="","",Students!G131)</x:f>
      </x:c>
      <x:c r="D131" s="17" t="str">
        <x:f>IF(A131="","",Students!H131)</x:f>
      </x:c>
      <x:c r="E131" s="22" t="str">
        <x:f>IF(A131="","",COUNTIFS(Late_Transactions!E:E,A131,Late_Transactions!K:K,"Recorded"))</x:f>
      </x:c>
      <x:c r="F131" s="21" t="n">
        <x:f>IFERROR(MAXIFS(Late_Transactions!C:C,Late_Transactions!E:E,A131,Late_Transactions!K:K,"Recorded"),"")</x:f>
        <x:v>0</x:v>
      </x:c>
      <x:c r="G131" s="17" t="str">
        <x:f>IF(E131="","",IF(E131&gt;=5,"High",IF(E131&gt;=3,"Watch","OK")))</x:f>
      </x:c>
    </x:row>
    <x:row r="132">
      <x:c r="A132" s="17" t="str">
        <x:f>IF(Students!A132="","",Students!A132)</x:f>
      </x:c>
      <x:c r="B132" s="17" t="str">
        <x:f>IF(A132="","",Students!F132)</x:f>
      </x:c>
      <x:c r="C132" s="17" t="str">
        <x:f>IF(A132="","",Students!G132)</x:f>
      </x:c>
      <x:c r="D132" s="17" t="str">
        <x:f>IF(A132="","",Students!H132)</x:f>
      </x:c>
      <x:c r="E132" s="22" t="str">
        <x:f>IF(A132="","",COUNTIFS(Late_Transactions!E:E,A132,Late_Transactions!K:K,"Recorded"))</x:f>
      </x:c>
      <x:c r="F132" s="21" t="n">
        <x:f>IFERROR(MAXIFS(Late_Transactions!C:C,Late_Transactions!E:E,A132,Late_Transactions!K:K,"Recorded"),"")</x:f>
        <x:v>0</x:v>
      </x:c>
      <x:c r="G132" s="17" t="str">
        <x:f>IF(E132="","",IF(E132&gt;=5,"High",IF(E132&gt;=3,"Watch","OK")))</x:f>
      </x:c>
    </x:row>
    <x:row r="133">
      <x:c r="A133" s="17" t="str">
        <x:f>IF(Students!A133="","",Students!A133)</x:f>
      </x:c>
      <x:c r="B133" s="17" t="str">
        <x:f>IF(A133="","",Students!F133)</x:f>
      </x:c>
      <x:c r="C133" s="17" t="str">
        <x:f>IF(A133="","",Students!G133)</x:f>
      </x:c>
      <x:c r="D133" s="17" t="str">
        <x:f>IF(A133="","",Students!H133)</x:f>
      </x:c>
      <x:c r="E133" s="22" t="str">
        <x:f>IF(A133="","",COUNTIFS(Late_Transactions!E:E,A133,Late_Transactions!K:K,"Recorded"))</x:f>
      </x:c>
      <x:c r="F133" s="21" t="n">
        <x:f>IFERROR(MAXIFS(Late_Transactions!C:C,Late_Transactions!E:E,A133,Late_Transactions!K:K,"Recorded"),"")</x:f>
        <x:v>0</x:v>
      </x:c>
      <x:c r="G133" s="17" t="str">
        <x:f>IF(E133="","",IF(E133&gt;=5,"High",IF(E133&gt;=3,"Watch","OK")))</x:f>
      </x:c>
    </x:row>
    <x:row r="134">
      <x:c r="A134" s="17" t="str">
        <x:f>IF(Students!A134="","",Students!A134)</x:f>
      </x:c>
      <x:c r="B134" s="17" t="str">
        <x:f>IF(A134="","",Students!F134)</x:f>
      </x:c>
      <x:c r="C134" s="17" t="str">
        <x:f>IF(A134="","",Students!G134)</x:f>
      </x:c>
      <x:c r="D134" s="17" t="str">
        <x:f>IF(A134="","",Students!H134)</x:f>
      </x:c>
      <x:c r="E134" s="22" t="str">
        <x:f>IF(A134="","",COUNTIFS(Late_Transactions!E:E,A134,Late_Transactions!K:K,"Recorded"))</x:f>
      </x:c>
      <x:c r="F134" s="21" t="n">
        <x:f>IFERROR(MAXIFS(Late_Transactions!C:C,Late_Transactions!E:E,A134,Late_Transactions!K:K,"Recorded"),"")</x:f>
        <x:v>0</x:v>
      </x:c>
      <x:c r="G134" s="17" t="str">
        <x:f>IF(E134="","",IF(E134&gt;=5,"High",IF(E134&gt;=3,"Watch","OK")))</x:f>
      </x:c>
    </x:row>
    <x:row r="135">
      <x:c r="A135" s="17" t="str">
        <x:f>IF(Students!A135="","",Students!A135)</x:f>
      </x:c>
      <x:c r="B135" s="17" t="str">
        <x:f>IF(A135="","",Students!F135)</x:f>
      </x:c>
      <x:c r="C135" s="17" t="str">
        <x:f>IF(A135="","",Students!G135)</x:f>
      </x:c>
      <x:c r="D135" s="17" t="str">
        <x:f>IF(A135="","",Students!H135)</x:f>
      </x:c>
      <x:c r="E135" s="22" t="str">
        <x:f>IF(A135="","",COUNTIFS(Late_Transactions!E:E,A135,Late_Transactions!K:K,"Recorded"))</x:f>
      </x:c>
      <x:c r="F135" s="21" t="n">
        <x:f>IFERROR(MAXIFS(Late_Transactions!C:C,Late_Transactions!E:E,A135,Late_Transactions!K:K,"Recorded"),"")</x:f>
        <x:v>0</x:v>
      </x:c>
      <x:c r="G135" s="17" t="str">
        <x:f>IF(E135="","",IF(E135&gt;=5,"High",IF(E135&gt;=3,"Watch","OK")))</x:f>
      </x:c>
    </x:row>
    <x:row r="136">
      <x:c r="A136" s="17" t="str">
        <x:f>IF(Students!A136="","",Students!A136)</x:f>
      </x:c>
      <x:c r="B136" s="17" t="str">
        <x:f>IF(A136="","",Students!F136)</x:f>
      </x:c>
      <x:c r="C136" s="17" t="str">
        <x:f>IF(A136="","",Students!G136)</x:f>
      </x:c>
      <x:c r="D136" s="17" t="str">
        <x:f>IF(A136="","",Students!H136)</x:f>
      </x:c>
      <x:c r="E136" s="22" t="str">
        <x:f>IF(A136="","",COUNTIFS(Late_Transactions!E:E,A136,Late_Transactions!K:K,"Recorded"))</x:f>
      </x:c>
      <x:c r="F136" s="21" t="n">
        <x:f>IFERROR(MAXIFS(Late_Transactions!C:C,Late_Transactions!E:E,A136,Late_Transactions!K:K,"Recorded"),"")</x:f>
        <x:v>0</x:v>
      </x:c>
      <x:c r="G136" s="17" t="str">
        <x:f>IF(E136="","",IF(E136&gt;=5,"High",IF(E136&gt;=3,"Watch","OK")))</x:f>
      </x:c>
    </x:row>
    <x:row r="137">
      <x:c r="A137" s="17" t="str">
        <x:f>IF(Students!A137="","",Students!A137)</x:f>
      </x:c>
      <x:c r="B137" s="17" t="str">
        <x:f>IF(A137="","",Students!F137)</x:f>
      </x:c>
      <x:c r="C137" s="17" t="str">
        <x:f>IF(A137="","",Students!G137)</x:f>
      </x:c>
      <x:c r="D137" s="17" t="str">
        <x:f>IF(A137="","",Students!H137)</x:f>
      </x:c>
      <x:c r="E137" s="22" t="str">
        <x:f>IF(A137="","",COUNTIFS(Late_Transactions!E:E,A137,Late_Transactions!K:K,"Recorded"))</x:f>
      </x:c>
      <x:c r="F137" s="21" t="n">
        <x:f>IFERROR(MAXIFS(Late_Transactions!C:C,Late_Transactions!E:E,A137,Late_Transactions!K:K,"Recorded"),"")</x:f>
        <x:v>0</x:v>
      </x:c>
      <x:c r="G137" s="17" t="str">
        <x:f>IF(E137="","",IF(E137&gt;=5,"High",IF(E137&gt;=3,"Watch","OK")))</x:f>
      </x:c>
    </x:row>
    <x:row r="138">
      <x:c r="A138" s="17" t="str">
        <x:f>IF(Students!A138="","",Students!A138)</x:f>
      </x:c>
      <x:c r="B138" s="17" t="str">
        <x:f>IF(A138="","",Students!F138)</x:f>
      </x:c>
      <x:c r="C138" s="17" t="str">
        <x:f>IF(A138="","",Students!G138)</x:f>
      </x:c>
      <x:c r="D138" s="17" t="str">
        <x:f>IF(A138="","",Students!H138)</x:f>
      </x:c>
      <x:c r="E138" s="22" t="str">
        <x:f>IF(A138="","",COUNTIFS(Late_Transactions!E:E,A138,Late_Transactions!K:K,"Recorded"))</x:f>
      </x:c>
      <x:c r="F138" s="21" t="n">
        <x:f>IFERROR(MAXIFS(Late_Transactions!C:C,Late_Transactions!E:E,A138,Late_Transactions!K:K,"Recorded"),"")</x:f>
        <x:v>0</x:v>
      </x:c>
      <x:c r="G138" s="17" t="str">
        <x:f>IF(E138="","",IF(E138&gt;=5,"High",IF(E138&gt;=3,"Watch","OK")))</x:f>
      </x:c>
    </x:row>
    <x:row r="139">
      <x:c r="A139" s="17" t="str">
        <x:f>IF(Students!A139="","",Students!A139)</x:f>
      </x:c>
      <x:c r="B139" s="17" t="str">
        <x:f>IF(A139="","",Students!F139)</x:f>
      </x:c>
      <x:c r="C139" s="17" t="str">
        <x:f>IF(A139="","",Students!G139)</x:f>
      </x:c>
      <x:c r="D139" s="17" t="str">
        <x:f>IF(A139="","",Students!H139)</x:f>
      </x:c>
      <x:c r="E139" s="22" t="str">
        <x:f>IF(A139="","",COUNTIFS(Late_Transactions!E:E,A139,Late_Transactions!K:K,"Recorded"))</x:f>
      </x:c>
      <x:c r="F139" s="21" t="n">
        <x:f>IFERROR(MAXIFS(Late_Transactions!C:C,Late_Transactions!E:E,A139,Late_Transactions!K:K,"Recorded"),"")</x:f>
        <x:v>0</x:v>
      </x:c>
      <x:c r="G139" s="17" t="str">
        <x:f>IF(E139="","",IF(E139&gt;=5,"High",IF(E139&gt;=3,"Watch","OK")))</x:f>
      </x:c>
    </x:row>
    <x:row r="140">
      <x:c r="A140" s="17" t="str">
        <x:f>IF(Students!A140="","",Students!A140)</x:f>
      </x:c>
      <x:c r="B140" s="17" t="str">
        <x:f>IF(A140="","",Students!F140)</x:f>
      </x:c>
      <x:c r="C140" s="17" t="str">
        <x:f>IF(A140="","",Students!G140)</x:f>
      </x:c>
      <x:c r="D140" s="17" t="str">
        <x:f>IF(A140="","",Students!H140)</x:f>
      </x:c>
      <x:c r="E140" s="22" t="str">
        <x:f>IF(A140="","",COUNTIFS(Late_Transactions!E:E,A140,Late_Transactions!K:K,"Recorded"))</x:f>
      </x:c>
      <x:c r="F140" s="21" t="n">
        <x:f>IFERROR(MAXIFS(Late_Transactions!C:C,Late_Transactions!E:E,A140,Late_Transactions!K:K,"Recorded"),"")</x:f>
        <x:v>0</x:v>
      </x:c>
      <x:c r="G140" s="17" t="str">
        <x:f>IF(E140="","",IF(E140&gt;=5,"High",IF(E140&gt;=3,"Watch","OK")))</x:f>
      </x:c>
    </x:row>
    <x:row r="141">
      <x:c r="A141" s="17" t="str">
        <x:f>IF(Students!A141="","",Students!A141)</x:f>
      </x:c>
      <x:c r="B141" s="17" t="str">
        <x:f>IF(A141="","",Students!F141)</x:f>
      </x:c>
      <x:c r="C141" s="17" t="str">
        <x:f>IF(A141="","",Students!G141)</x:f>
      </x:c>
      <x:c r="D141" s="17" t="str">
        <x:f>IF(A141="","",Students!H141)</x:f>
      </x:c>
      <x:c r="E141" s="22" t="str">
        <x:f>IF(A141="","",COUNTIFS(Late_Transactions!E:E,A141,Late_Transactions!K:K,"Recorded"))</x:f>
      </x:c>
      <x:c r="F141" s="21" t="n">
        <x:f>IFERROR(MAXIFS(Late_Transactions!C:C,Late_Transactions!E:E,A141,Late_Transactions!K:K,"Recorded"),"")</x:f>
        <x:v>0</x:v>
      </x:c>
      <x:c r="G141" s="17" t="str">
        <x:f>IF(E141="","",IF(E141&gt;=5,"High",IF(E141&gt;=3,"Watch","OK")))</x:f>
      </x:c>
    </x:row>
    <x:row r="142">
      <x:c r="A142" s="17" t="str">
        <x:f>IF(Students!A142="","",Students!A142)</x:f>
      </x:c>
      <x:c r="B142" s="17" t="str">
        <x:f>IF(A142="","",Students!F142)</x:f>
      </x:c>
      <x:c r="C142" s="17" t="str">
        <x:f>IF(A142="","",Students!G142)</x:f>
      </x:c>
      <x:c r="D142" s="17" t="str">
        <x:f>IF(A142="","",Students!H142)</x:f>
      </x:c>
      <x:c r="E142" s="22" t="str">
        <x:f>IF(A142="","",COUNTIFS(Late_Transactions!E:E,A142,Late_Transactions!K:K,"Recorded"))</x:f>
      </x:c>
      <x:c r="F142" s="21" t="n">
        <x:f>IFERROR(MAXIFS(Late_Transactions!C:C,Late_Transactions!E:E,A142,Late_Transactions!K:K,"Recorded"),"")</x:f>
        <x:v>0</x:v>
      </x:c>
      <x:c r="G142" s="17" t="str">
        <x:f>IF(E142="","",IF(E142&gt;=5,"High",IF(E142&gt;=3,"Watch","OK")))</x:f>
      </x:c>
    </x:row>
    <x:row r="143">
      <x:c r="A143" s="17" t="str">
        <x:f>IF(Students!A143="","",Students!A143)</x:f>
      </x:c>
      <x:c r="B143" s="17" t="str">
        <x:f>IF(A143="","",Students!F143)</x:f>
      </x:c>
      <x:c r="C143" s="17" t="str">
        <x:f>IF(A143="","",Students!G143)</x:f>
      </x:c>
      <x:c r="D143" s="17" t="str">
        <x:f>IF(A143="","",Students!H143)</x:f>
      </x:c>
      <x:c r="E143" s="22" t="str">
        <x:f>IF(A143="","",COUNTIFS(Late_Transactions!E:E,A143,Late_Transactions!K:K,"Recorded"))</x:f>
      </x:c>
      <x:c r="F143" s="21" t="n">
        <x:f>IFERROR(MAXIFS(Late_Transactions!C:C,Late_Transactions!E:E,A143,Late_Transactions!K:K,"Recorded"),"")</x:f>
        <x:v>0</x:v>
      </x:c>
      <x:c r="G143" s="17" t="str">
        <x:f>IF(E143="","",IF(E143&gt;=5,"High",IF(E143&gt;=3,"Watch","OK")))</x:f>
      </x:c>
    </x:row>
    <x:row r="144">
      <x:c r="A144" s="17" t="str">
        <x:f>IF(Students!A144="","",Students!A144)</x:f>
      </x:c>
      <x:c r="B144" s="17" t="str">
        <x:f>IF(A144="","",Students!F144)</x:f>
      </x:c>
      <x:c r="C144" s="17" t="str">
        <x:f>IF(A144="","",Students!G144)</x:f>
      </x:c>
      <x:c r="D144" s="17" t="str">
        <x:f>IF(A144="","",Students!H144)</x:f>
      </x:c>
      <x:c r="E144" s="22" t="str">
        <x:f>IF(A144="","",COUNTIFS(Late_Transactions!E:E,A144,Late_Transactions!K:K,"Recorded"))</x:f>
      </x:c>
      <x:c r="F144" s="21" t="n">
        <x:f>IFERROR(MAXIFS(Late_Transactions!C:C,Late_Transactions!E:E,A144,Late_Transactions!K:K,"Recorded"),"")</x:f>
        <x:v>0</x:v>
      </x:c>
      <x:c r="G144" s="17" t="str">
        <x:f>IF(E144="","",IF(E144&gt;=5,"High",IF(E144&gt;=3,"Watch","OK")))</x:f>
      </x:c>
    </x:row>
    <x:row r="145">
      <x:c r="A145" s="17" t="str">
        <x:f>IF(Students!A145="","",Students!A145)</x:f>
      </x:c>
      <x:c r="B145" s="17" t="str">
        <x:f>IF(A145="","",Students!F145)</x:f>
      </x:c>
      <x:c r="C145" s="17" t="str">
        <x:f>IF(A145="","",Students!G145)</x:f>
      </x:c>
      <x:c r="D145" s="17" t="str">
        <x:f>IF(A145="","",Students!H145)</x:f>
      </x:c>
      <x:c r="E145" s="22" t="str">
        <x:f>IF(A145="","",COUNTIFS(Late_Transactions!E:E,A145,Late_Transactions!K:K,"Recorded"))</x:f>
      </x:c>
      <x:c r="F145" s="21" t="n">
        <x:f>IFERROR(MAXIFS(Late_Transactions!C:C,Late_Transactions!E:E,A145,Late_Transactions!K:K,"Recorded"),"")</x:f>
        <x:v>0</x:v>
      </x:c>
      <x:c r="G145" s="17" t="str">
        <x:f>IF(E145="","",IF(E145&gt;=5,"High",IF(E145&gt;=3,"Watch","OK")))</x:f>
      </x:c>
    </x:row>
    <x:row r="146">
      <x:c r="A146" s="17" t="str">
        <x:f>IF(Students!A146="","",Students!A146)</x:f>
      </x:c>
      <x:c r="B146" s="17" t="str">
        <x:f>IF(A146="","",Students!F146)</x:f>
      </x:c>
      <x:c r="C146" s="17" t="str">
        <x:f>IF(A146="","",Students!G146)</x:f>
      </x:c>
      <x:c r="D146" s="17" t="str">
        <x:f>IF(A146="","",Students!H146)</x:f>
      </x:c>
      <x:c r="E146" s="22" t="str">
        <x:f>IF(A146="","",COUNTIFS(Late_Transactions!E:E,A146,Late_Transactions!K:K,"Recorded"))</x:f>
      </x:c>
      <x:c r="F146" s="21" t="n">
        <x:f>IFERROR(MAXIFS(Late_Transactions!C:C,Late_Transactions!E:E,A146,Late_Transactions!K:K,"Recorded"),"")</x:f>
        <x:v>0</x:v>
      </x:c>
      <x:c r="G146" s="17" t="str">
        <x:f>IF(E146="","",IF(E146&gt;=5,"High",IF(E146&gt;=3,"Watch","OK")))</x:f>
      </x:c>
    </x:row>
    <x:row r="147">
      <x:c r="A147" s="17" t="str">
        <x:f>IF(Students!A147="","",Students!A147)</x:f>
      </x:c>
      <x:c r="B147" s="17" t="str">
        <x:f>IF(A147="","",Students!F147)</x:f>
      </x:c>
      <x:c r="C147" s="17" t="str">
        <x:f>IF(A147="","",Students!G147)</x:f>
      </x:c>
      <x:c r="D147" s="17" t="str">
        <x:f>IF(A147="","",Students!H147)</x:f>
      </x:c>
      <x:c r="E147" s="22" t="str">
        <x:f>IF(A147="","",COUNTIFS(Late_Transactions!E:E,A147,Late_Transactions!K:K,"Recorded"))</x:f>
      </x:c>
      <x:c r="F147" s="21" t="n">
        <x:f>IFERROR(MAXIFS(Late_Transactions!C:C,Late_Transactions!E:E,A147,Late_Transactions!K:K,"Recorded"),"")</x:f>
        <x:v>0</x:v>
      </x:c>
      <x:c r="G147" s="17" t="str">
        <x:f>IF(E147="","",IF(E147&gt;=5,"High",IF(E147&gt;=3,"Watch","OK")))</x:f>
      </x:c>
    </x:row>
    <x:row r="148">
      <x:c r="A148" s="17" t="str">
        <x:f>IF(Students!A148="","",Students!A148)</x:f>
      </x:c>
      <x:c r="B148" s="17" t="str">
        <x:f>IF(A148="","",Students!F148)</x:f>
      </x:c>
      <x:c r="C148" s="17" t="str">
        <x:f>IF(A148="","",Students!G148)</x:f>
      </x:c>
      <x:c r="D148" s="17" t="str">
        <x:f>IF(A148="","",Students!H148)</x:f>
      </x:c>
      <x:c r="E148" s="22" t="str">
        <x:f>IF(A148="","",COUNTIFS(Late_Transactions!E:E,A148,Late_Transactions!K:K,"Recorded"))</x:f>
      </x:c>
      <x:c r="F148" s="21" t="n">
        <x:f>IFERROR(MAXIFS(Late_Transactions!C:C,Late_Transactions!E:E,A148,Late_Transactions!K:K,"Recorded"),"")</x:f>
        <x:v>0</x:v>
      </x:c>
      <x:c r="G148" s="17" t="str">
        <x:f>IF(E148="","",IF(E148&gt;=5,"High",IF(E148&gt;=3,"Watch","OK")))</x:f>
      </x:c>
    </x:row>
    <x:row r="149">
      <x:c r="A149" s="17" t="str">
        <x:f>IF(Students!A149="","",Students!A149)</x:f>
      </x:c>
      <x:c r="B149" s="17" t="str">
        <x:f>IF(A149="","",Students!F149)</x:f>
      </x:c>
      <x:c r="C149" s="17" t="str">
        <x:f>IF(A149="","",Students!G149)</x:f>
      </x:c>
      <x:c r="D149" s="17" t="str">
        <x:f>IF(A149="","",Students!H149)</x:f>
      </x:c>
      <x:c r="E149" s="22" t="str">
        <x:f>IF(A149="","",COUNTIFS(Late_Transactions!E:E,A149,Late_Transactions!K:K,"Recorded"))</x:f>
      </x:c>
      <x:c r="F149" s="21" t="n">
        <x:f>IFERROR(MAXIFS(Late_Transactions!C:C,Late_Transactions!E:E,A149,Late_Transactions!K:K,"Recorded"),"")</x:f>
        <x:v>0</x:v>
      </x:c>
      <x:c r="G149" s="17" t="str">
        <x:f>IF(E149="","",IF(E149&gt;=5,"High",IF(E149&gt;=3,"Watch","OK")))</x:f>
      </x:c>
    </x:row>
    <x:row r="150">
      <x:c r="A150" s="17" t="str">
        <x:f>IF(Students!A150="","",Students!A150)</x:f>
      </x:c>
      <x:c r="B150" s="17" t="str">
        <x:f>IF(A150="","",Students!F150)</x:f>
      </x:c>
      <x:c r="C150" s="17" t="str">
        <x:f>IF(A150="","",Students!G150)</x:f>
      </x:c>
      <x:c r="D150" s="17" t="str">
        <x:f>IF(A150="","",Students!H150)</x:f>
      </x:c>
      <x:c r="E150" s="22" t="str">
        <x:f>IF(A150="","",COUNTIFS(Late_Transactions!E:E,A150,Late_Transactions!K:K,"Recorded"))</x:f>
      </x:c>
      <x:c r="F150" s="21" t="n">
        <x:f>IFERROR(MAXIFS(Late_Transactions!C:C,Late_Transactions!E:E,A150,Late_Transactions!K:K,"Recorded"),"")</x:f>
        <x:v>0</x:v>
      </x:c>
      <x:c r="G150" s="17" t="str">
        <x:f>IF(E150="","",IF(E150&gt;=5,"High",IF(E150&gt;=3,"Watch","OK")))</x:f>
      </x:c>
    </x:row>
    <x:row r="151">
      <x:c r="A151" s="17" t="str">
        <x:f>IF(Students!A151="","",Students!A151)</x:f>
      </x:c>
      <x:c r="B151" s="17" t="str">
        <x:f>IF(A151="","",Students!F151)</x:f>
      </x:c>
      <x:c r="C151" s="17" t="str">
        <x:f>IF(A151="","",Students!G151)</x:f>
      </x:c>
      <x:c r="D151" s="17" t="str">
        <x:f>IF(A151="","",Students!H151)</x:f>
      </x:c>
      <x:c r="E151" s="22" t="str">
        <x:f>IF(A151="","",COUNTIFS(Late_Transactions!E:E,A151,Late_Transactions!K:K,"Recorded"))</x:f>
      </x:c>
      <x:c r="F151" s="21" t="n">
        <x:f>IFERROR(MAXIFS(Late_Transactions!C:C,Late_Transactions!E:E,A151,Late_Transactions!K:K,"Recorded"),"")</x:f>
        <x:v>0</x:v>
      </x:c>
      <x:c r="G151" s="17" t="str">
        <x:f>IF(E151="","",IF(E151&gt;=5,"High",IF(E151&gt;=3,"Watch","OK")))</x:f>
      </x:c>
    </x:row>
    <x:row r="152">
      <x:c r="A152" s="17" t="str">
        <x:f>IF(Students!A152="","",Students!A152)</x:f>
      </x:c>
      <x:c r="B152" s="17" t="str">
        <x:f>IF(A152="","",Students!F152)</x:f>
      </x:c>
      <x:c r="C152" s="17" t="str">
        <x:f>IF(A152="","",Students!G152)</x:f>
      </x:c>
      <x:c r="D152" s="17" t="str">
        <x:f>IF(A152="","",Students!H152)</x:f>
      </x:c>
      <x:c r="E152" s="22" t="str">
        <x:f>IF(A152="","",COUNTIFS(Late_Transactions!E:E,A152,Late_Transactions!K:K,"Recorded"))</x:f>
      </x:c>
      <x:c r="F152" s="21" t="n">
        <x:f>IFERROR(MAXIFS(Late_Transactions!C:C,Late_Transactions!E:E,A152,Late_Transactions!K:K,"Recorded"),"")</x:f>
        <x:v>0</x:v>
      </x:c>
      <x:c r="G152" s="17" t="str">
        <x:f>IF(E152="","",IF(E152&gt;=5,"High",IF(E152&gt;=3,"Watch","OK")))</x:f>
      </x:c>
    </x:row>
    <x:row r="153">
      <x:c r="A153" s="17" t="str">
        <x:f>IF(Students!A153="","",Students!A153)</x:f>
      </x:c>
      <x:c r="B153" s="17" t="str">
        <x:f>IF(A153="","",Students!F153)</x:f>
      </x:c>
      <x:c r="C153" s="17" t="str">
        <x:f>IF(A153="","",Students!G153)</x:f>
      </x:c>
      <x:c r="D153" s="17" t="str">
        <x:f>IF(A153="","",Students!H153)</x:f>
      </x:c>
      <x:c r="E153" s="22" t="str">
        <x:f>IF(A153="","",COUNTIFS(Late_Transactions!E:E,A153,Late_Transactions!K:K,"Recorded"))</x:f>
      </x:c>
      <x:c r="F153" s="21" t="n">
        <x:f>IFERROR(MAXIFS(Late_Transactions!C:C,Late_Transactions!E:E,A153,Late_Transactions!K:K,"Recorded"),"")</x:f>
        <x:v>0</x:v>
      </x:c>
      <x:c r="G153" s="17" t="str">
        <x:f>IF(E153="","",IF(E153&gt;=5,"High",IF(E153&gt;=3,"Watch","OK")))</x:f>
      </x:c>
    </x:row>
    <x:row r="154">
      <x:c r="A154" s="17" t="str">
        <x:f>IF(Students!A154="","",Students!A154)</x:f>
      </x:c>
      <x:c r="B154" s="17" t="str">
        <x:f>IF(A154="","",Students!F154)</x:f>
      </x:c>
      <x:c r="C154" s="17" t="str">
        <x:f>IF(A154="","",Students!G154)</x:f>
      </x:c>
      <x:c r="D154" s="17" t="str">
        <x:f>IF(A154="","",Students!H154)</x:f>
      </x:c>
      <x:c r="E154" s="22" t="str">
        <x:f>IF(A154="","",COUNTIFS(Late_Transactions!E:E,A154,Late_Transactions!K:K,"Recorded"))</x:f>
      </x:c>
      <x:c r="F154" s="21" t="n">
        <x:f>IFERROR(MAXIFS(Late_Transactions!C:C,Late_Transactions!E:E,A154,Late_Transactions!K:K,"Recorded"),"")</x:f>
        <x:v>0</x:v>
      </x:c>
      <x:c r="G154" s="17" t="str">
        <x:f>IF(E154="","",IF(E154&gt;=5,"High",IF(E154&gt;=3,"Watch","OK")))</x:f>
      </x:c>
    </x:row>
    <x:row r="155">
      <x:c r="A155" s="17" t="str">
        <x:f>IF(Students!A155="","",Students!A155)</x:f>
      </x:c>
      <x:c r="B155" s="17" t="str">
        <x:f>IF(A155="","",Students!F155)</x:f>
      </x:c>
      <x:c r="C155" s="17" t="str">
        <x:f>IF(A155="","",Students!G155)</x:f>
      </x:c>
      <x:c r="D155" s="17" t="str">
        <x:f>IF(A155="","",Students!H155)</x:f>
      </x:c>
      <x:c r="E155" s="22" t="str">
        <x:f>IF(A155="","",COUNTIFS(Late_Transactions!E:E,A155,Late_Transactions!K:K,"Recorded"))</x:f>
      </x:c>
      <x:c r="F155" s="21" t="n">
        <x:f>IFERROR(MAXIFS(Late_Transactions!C:C,Late_Transactions!E:E,A155,Late_Transactions!K:K,"Recorded"),"")</x:f>
        <x:v>0</x:v>
      </x:c>
      <x:c r="G155" s="17" t="str">
        <x:f>IF(E155="","",IF(E155&gt;=5,"High",IF(E155&gt;=3,"Watch","OK")))</x:f>
      </x:c>
    </x:row>
    <x:row r="156">
      <x:c r="A156" s="17" t="str">
        <x:f>IF(Students!A156="","",Students!A156)</x:f>
      </x:c>
      <x:c r="B156" s="17" t="str">
        <x:f>IF(A156="","",Students!F156)</x:f>
      </x:c>
      <x:c r="C156" s="17" t="str">
        <x:f>IF(A156="","",Students!G156)</x:f>
      </x:c>
      <x:c r="D156" s="17" t="str">
        <x:f>IF(A156="","",Students!H156)</x:f>
      </x:c>
      <x:c r="E156" s="22" t="str">
        <x:f>IF(A156="","",COUNTIFS(Late_Transactions!E:E,A156,Late_Transactions!K:K,"Recorded"))</x:f>
      </x:c>
      <x:c r="F156" s="21" t="n">
        <x:f>IFERROR(MAXIFS(Late_Transactions!C:C,Late_Transactions!E:E,A156,Late_Transactions!K:K,"Recorded"),"")</x:f>
        <x:v>0</x:v>
      </x:c>
      <x:c r="G156" s="17" t="str">
        <x:f>IF(E156="","",IF(E156&gt;=5,"High",IF(E156&gt;=3,"Watch","OK")))</x:f>
      </x:c>
    </x:row>
    <x:row r="157">
      <x:c r="A157" s="17" t="str">
        <x:f>IF(Students!A157="","",Students!A157)</x:f>
      </x:c>
      <x:c r="B157" s="17" t="str">
        <x:f>IF(A157="","",Students!F157)</x:f>
      </x:c>
      <x:c r="C157" s="17" t="str">
        <x:f>IF(A157="","",Students!G157)</x:f>
      </x:c>
      <x:c r="D157" s="17" t="str">
        <x:f>IF(A157="","",Students!H157)</x:f>
      </x:c>
      <x:c r="E157" s="22" t="str">
        <x:f>IF(A157="","",COUNTIFS(Late_Transactions!E:E,A157,Late_Transactions!K:K,"Recorded"))</x:f>
      </x:c>
      <x:c r="F157" s="21" t="n">
        <x:f>IFERROR(MAXIFS(Late_Transactions!C:C,Late_Transactions!E:E,A157,Late_Transactions!K:K,"Recorded"),"")</x:f>
        <x:v>0</x:v>
      </x:c>
      <x:c r="G157" s="17" t="str">
        <x:f>IF(E157="","",IF(E157&gt;=5,"High",IF(E157&gt;=3,"Watch","OK")))</x:f>
      </x:c>
    </x:row>
    <x:row r="158">
      <x:c r="A158" s="17" t="str">
        <x:f>IF(Students!A158="","",Students!A158)</x:f>
      </x:c>
      <x:c r="B158" s="17" t="str">
        <x:f>IF(A158="","",Students!F158)</x:f>
      </x:c>
      <x:c r="C158" s="17" t="str">
        <x:f>IF(A158="","",Students!G158)</x:f>
      </x:c>
      <x:c r="D158" s="17" t="str">
        <x:f>IF(A158="","",Students!H158)</x:f>
      </x:c>
      <x:c r="E158" s="22" t="str">
        <x:f>IF(A158="","",COUNTIFS(Late_Transactions!E:E,A158,Late_Transactions!K:K,"Recorded"))</x:f>
      </x:c>
      <x:c r="F158" s="21" t="n">
        <x:f>IFERROR(MAXIFS(Late_Transactions!C:C,Late_Transactions!E:E,A158,Late_Transactions!K:K,"Recorded"),"")</x:f>
        <x:v>0</x:v>
      </x:c>
      <x:c r="G158" s="17" t="str">
        <x:f>IF(E158="","",IF(E158&gt;=5,"High",IF(E158&gt;=3,"Watch","OK")))</x:f>
      </x:c>
    </x:row>
    <x:row r="159">
      <x:c r="A159" s="17" t="str">
        <x:f>IF(Students!A159="","",Students!A159)</x:f>
      </x:c>
      <x:c r="B159" s="17" t="str">
        <x:f>IF(A159="","",Students!F159)</x:f>
      </x:c>
      <x:c r="C159" s="17" t="str">
        <x:f>IF(A159="","",Students!G159)</x:f>
      </x:c>
      <x:c r="D159" s="17" t="str">
        <x:f>IF(A159="","",Students!H159)</x:f>
      </x:c>
      <x:c r="E159" s="22" t="str">
        <x:f>IF(A159="","",COUNTIFS(Late_Transactions!E:E,A159,Late_Transactions!K:K,"Recorded"))</x:f>
      </x:c>
      <x:c r="F159" s="21" t="n">
        <x:f>IFERROR(MAXIFS(Late_Transactions!C:C,Late_Transactions!E:E,A159,Late_Transactions!K:K,"Recorded"),"")</x:f>
        <x:v>0</x:v>
      </x:c>
      <x:c r="G159" s="17" t="str">
        <x:f>IF(E159="","",IF(E159&gt;=5,"High",IF(E159&gt;=3,"Watch","OK")))</x:f>
      </x:c>
    </x:row>
    <x:row r="160">
      <x:c r="A160" s="17" t="str">
        <x:f>IF(Students!A160="","",Students!A160)</x:f>
      </x:c>
      <x:c r="B160" s="17" t="str">
        <x:f>IF(A160="","",Students!F160)</x:f>
      </x:c>
      <x:c r="C160" s="17" t="str">
        <x:f>IF(A160="","",Students!G160)</x:f>
      </x:c>
      <x:c r="D160" s="17" t="str">
        <x:f>IF(A160="","",Students!H160)</x:f>
      </x:c>
      <x:c r="E160" s="22" t="str">
        <x:f>IF(A160="","",COUNTIFS(Late_Transactions!E:E,A160,Late_Transactions!K:K,"Recorded"))</x:f>
      </x:c>
      <x:c r="F160" s="21" t="n">
        <x:f>IFERROR(MAXIFS(Late_Transactions!C:C,Late_Transactions!E:E,A160,Late_Transactions!K:K,"Recorded"),"")</x:f>
        <x:v>0</x:v>
      </x:c>
      <x:c r="G160" s="17" t="str">
        <x:f>IF(E160="","",IF(E160&gt;=5,"High",IF(E160&gt;=3,"Watch","OK")))</x:f>
      </x:c>
    </x:row>
    <x:row r="161">
      <x:c r="A161" s="17" t="str">
        <x:f>IF(Students!A161="","",Students!A161)</x:f>
      </x:c>
      <x:c r="B161" s="17" t="str">
        <x:f>IF(A161="","",Students!F161)</x:f>
      </x:c>
      <x:c r="C161" s="17" t="str">
        <x:f>IF(A161="","",Students!G161)</x:f>
      </x:c>
      <x:c r="D161" s="17" t="str">
        <x:f>IF(A161="","",Students!H161)</x:f>
      </x:c>
      <x:c r="E161" s="22" t="str">
        <x:f>IF(A161="","",COUNTIFS(Late_Transactions!E:E,A161,Late_Transactions!K:K,"Recorded"))</x:f>
      </x:c>
      <x:c r="F161" s="21" t="n">
        <x:f>IFERROR(MAXIFS(Late_Transactions!C:C,Late_Transactions!E:E,A161,Late_Transactions!K:K,"Recorded"),"")</x:f>
        <x:v>0</x:v>
      </x:c>
      <x:c r="G161" s="17" t="str">
        <x:f>IF(E161="","",IF(E161&gt;=5,"High",IF(E161&gt;=3,"Watch","OK")))</x:f>
      </x:c>
    </x:row>
    <x:row r="162">
      <x:c r="A162" s="17" t="str">
        <x:f>IF(Students!A162="","",Students!A162)</x:f>
      </x:c>
      <x:c r="B162" s="17" t="str">
        <x:f>IF(A162="","",Students!F162)</x:f>
      </x:c>
      <x:c r="C162" s="17" t="str">
        <x:f>IF(A162="","",Students!G162)</x:f>
      </x:c>
      <x:c r="D162" s="17" t="str">
        <x:f>IF(A162="","",Students!H162)</x:f>
      </x:c>
      <x:c r="E162" s="22" t="str">
        <x:f>IF(A162="","",COUNTIFS(Late_Transactions!E:E,A162,Late_Transactions!K:K,"Recorded"))</x:f>
      </x:c>
      <x:c r="F162" s="21" t="n">
        <x:f>IFERROR(MAXIFS(Late_Transactions!C:C,Late_Transactions!E:E,A162,Late_Transactions!K:K,"Recorded"),"")</x:f>
        <x:v>0</x:v>
      </x:c>
      <x:c r="G162" s="17" t="str">
        <x:f>IF(E162="","",IF(E162&gt;=5,"High",IF(E162&gt;=3,"Watch","OK")))</x:f>
      </x:c>
    </x:row>
    <x:row r="163">
      <x:c r="A163" s="17" t="str">
        <x:f>IF(Students!A163="","",Students!A163)</x:f>
      </x:c>
      <x:c r="B163" s="17" t="str">
        <x:f>IF(A163="","",Students!F163)</x:f>
      </x:c>
      <x:c r="C163" s="17" t="str">
        <x:f>IF(A163="","",Students!G163)</x:f>
      </x:c>
      <x:c r="D163" s="17" t="str">
        <x:f>IF(A163="","",Students!H163)</x:f>
      </x:c>
      <x:c r="E163" s="22" t="str">
        <x:f>IF(A163="","",COUNTIFS(Late_Transactions!E:E,A163,Late_Transactions!K:K,"Recorded"))</x:f>
      </x:c>
      <x:c r="F163" s="21" t="n">
        <x:f>IFERROR(MAXIFS(Late_Transactions!C:C,Late_Transactions!E:E,A163,Late_Transactions!K:K,"Recorded"),"")</x:f>
        <x:v>0</x:v>
      </x:c>
      <x:c r="G163" s="17" t="str">
        <x:f>IF(E163="","",IF(E163&gt;=5,"High",IF(E163&gt;=3,"Watch","OK")))</x:f>
      </x:c>
    </x:row>
    <x:row r="164">
      <x:c r="A164" s="17" t="str">
        <x:f>IF(Students!A164="","",Students!A164)</x:f>
      </x:c>
      <x:c r="B164" s="17" t="str">
        <x:f>IF(A164="","",Students!F164)</x:f>
      </x:c>
      <x:c r="C164" s="17" t="str">
        <x:f>IF(A164="","",Students!G164)</x:f>
      </x:c>
      <x:c r="D164" s="17" t="str">
        <x:f>IF(A164="","",Students!H164)</x:f>
      </x:c>
      <x:c r="E164" s="22" t="str">
        <x:f>IF(A164="","",COUNTIFS(Late_Transactions!E:E,A164,Late_Transactions!K:K,"Recorded"))</x:f>
      </x:c>
      <x:c r="F164" s="21" t="n">
        <x:f>IFERROR(MAXIFS(Late_Transactions!C:C,Late_Transactions!E:E,A164,Late_Transactions!K:K,"Recorded"),"")</x:f>
        <x:v>0</x:v>
      </x:c>
      <x:c r="G164" s="17" t="str">
        <x:f>IF(E164="","",IF(E164&gt;=5,"High",IF(E164&gt;=3,"Watch","OK")))</x:f>
      </x:c>
    </x:row>
    <x:row r="165">
      <x:c r="A165" s="17" t="str">
        <x:f>IF(Students!A165="","",Students!A165)</x:f>
      </x:c>
      <x:c r="B165" s="17" t="str">
        <x:f>IF(A165="","",Students!F165)</x:f>
      </x:c>
      <x:c r="C165" s="17" t="str">
        <x:f>IF(A165="","",Students!G165)</x:f>
      </x:c>
      <x:c r="D165" s="17" t="str">
        <x:f>IF(A165="","",Students!H165)</x:f>
      </x:c>
      <x:c r="E165" s="22" t="str">
        <x:f>IF(A165="","",COUNTIFS(Late_Transactions!E:E,A165,Late_Transactions!K:K,"Recorded"))</x:f>
      </x:c>
      <x:c r="F165" s="21" t="n">
        <x:f>IFERROR(MAXIFS(Late_Transactions!C:C,Late_Transactions!E:E,A165,Late_Transactions!K:K,"Recorded"),"")</x:f>
        <x:v>0</x:v>
      </x:c>
      <x:c r="G165" s="17" t="str">
        <x:f>IF(E165="","",IF(E165&gt;=5,"High",IF(E165&gt;=3,"Watch","OK")))</x:f>
      </x:c>
    </x:row>
    <x:row r="166">
      <x:c r="A166" s="17" t="str">
        <x:f>IF(Students!A166="","",Students!A166)</x:f>
      </x:c>
      <x:c r="B166" s="17" t="str">
        <x:f>IF(A166="","",Students!F166)</x:f>
      </x:c>
      <x:c r="C166" s="17" t="str">
        <x:f>IF(A166="","",Students!G166)</x:f>
      </x:c>
      <x:c r="D166" s="17" t="str">
        <x:f>IF(A166="","",Students!H166)</x:f>
      </x:c>
      <x:c r="E166" s="22" t="str">
        <x:f>IF(A166="","",COUNTIFS(Late_Transactions!E:E,A166,Late_Transactions!K:K,"Recorded"))</x:f>
      </x:c>
      <x:c r="F166" s="21" t="n">
        <x:f>IFERROR(MAXIFS(Late_Transactions!C:C,Late_Transactions!E:E,A166,Late_Transactions!K:K,"Recorded"),"")</x:f>
        <x:v>0</x:v>
      </x:c>
      <x:c r="G166" s="17" t="str">
        <x:f>IF(E166="","",IF(E166&gt;=5,"High",IF(E166&gt;=3,"Watch","OK")))</x:f>
      </x:c>
    </x:row>
    <x:row r="167">
      <x:c r="A167" s="17" t="str">
        <x:f>IF(Students!A167="","",Students!A167)</x:f>
      </x:c>
      <x:c r="B167" s="17" t="str">
        <x:f>IF(A167="","",Students!F167)</x:f>
      </x:c>
      <x:c r="C167" s="17" t="str">
        <x:f>IF(A167="","",Students!G167)</x:f>
      </x:c>
      <x:c r="D167" s="17" t="str">
        <x:f>IF(A167="","",Students!H167)</x:f>
      </x:c>
      <x:c r="E167" s="22" t="str">
        <x:f>IF(A167="","",COUNTIFS(Late_Transactions!E:E,A167,Late_Transactions!K:K,"Recorded"))</x:f>
      </x:c>
      <x:c r="F167" s="21" t="n">
        <x:f>IFERROR(MAXIFS(Late_Transactions!C:C,Late_Transactions!E:E,A167,Late_Transactions!K:K,"Recorded"),"")</x:f>
        <x:v>0</x:v>
      </x:c>
      <x:c r="G167" s="17" t="str">
        <x:f>IF(E167="","",IF(E167&gt;=5,"High",IF(E167&gt;=3,"Watch","OK")))</x:f>
      </x:c>
    </x:row>
    <x:row r="168">
      <x:c r="A168" s="17" t="str">
        <x:f>IF(Students!A168="","",Students!A168)</x:f>
      </x:c>
      <x:c r="B168" s="17" t="str">
        <x:f>IF(A168="","",Students!F168)</x:f>
      </x:c>
      <x:c r="C168" s="17" t="str">
        <x:f>IF(A168="","",Students!G168)</x:f>
      </x:c>
      <x:c r="D168" s="17" t="str">
        <x:f>IF(A168="","",Students!H168)</x:f>
      </x:c>
      <x:c r="E168" s="22" t="str">
        <x:f>IF(A168="","",COUNTIFS(Late_Transactions!E:E,A168,Late_Transactions!K:K,"Recorded"))</x:f>
      </x:c>
      <x:c r="F168" s="21" t="n">
        <x:f>IFERROR(MAXIFS(Late_Transactions!C:C,Late_Transactions!E:E,A168,Late_Transactions!K:K,"Recorded"),"")</x:f>
        <x:v>0</x:v>
      </x:c>
      <x:c r="G168" s="17" t="str">
        <x:f>IF(E168="","",IF(E168&gt;=5,"High",IF(E168&gt;=3,"Watch","OK")))</x:f>
      </x:c>
    </x:row>
    <x:row r="169">
      <x:c r="A169" s="17" t="str">
        <x:f>IF(Students!A169="","",Students!A169)</x:f>
      </x:c>
      <x:c r="B169" s="17" t="str">
        <x:f>IF(A169="","",Students!F169)</x:f>
      </x:c>
      <x:c r="C169" s="17" t="str">
        <x:f>IF(A169="","",Students!G169)</x:f>
      </x:c>
      <x:c r="D169" s="17" t="str">
        <x:f>IF(A169="","",Students!H169)</x:f>
      </x:c>
      <x:c r="E169" s="22" t="str">
        <x:f>IF(A169="","",COUNTIFS(Late_Transactions!E:E,A169,Late_Transactions!K:K,"Recorded"))</x:f>
      </x:c>
      <x:c r="F169" s="21" t="n">
        <x:f>IFERROR(MAXIFS(Late_Transactions!C:C,Late_Transactions!E:E,A169,Late_Transactions!K:K,"Recorded"),"")</x:f>
        <x:v>0</x:v>
      </x:c>
      <x:c r="G169" s="17" t="str">
        <x:f>IF(E169="","",IF(E169&gt;=5,"High",IF(E169&gt;=3,"Watch","OK")))</x:f>
      </x:c>
    </x:row>
    <x:row r="170">
      <x:c r="A170" s="17" t="str">
        <x:f>IF(Students!A170="","",Students!A170)</x:f>
      </x:c>
      <x:c r="B170" s="17" t="str">
        <x:f>IF(A170="","",Students!F170)</x:f>
      </x:c>
      <x:c r="C170" s="17" t="str">
        <x:f>IF(A170="","",Students!G170)</x:f>
      </x:c>
      <x:c r="D170" s="17" t="str">
        <x:f>IF(A170="","",Students!H170)</x:f>
      </x:c>
      <x:c r="E170" s="22" t="str">
        <x:f>IF(A170="","",COUNTIFS(Late_Transactions!E:E,A170,Late_Transactions!K:K,"Recorded"))</x:f>
      </x:c>
      <x:c r="F170" s="21" t="n">
        <x:f>IFERROR(MAXIFS(Late_Transactions!C:C,Late_Transactions!E:E,A170,Late_Transactions!K:K,"Recorded"),"")</x:f>
        <x:v>0</x:v>
      </x:c>
      <x:c r="G170" s="17" t="str">
        <x:f>IF(E170="","",IF(E170&gt;=5,"High",IF(E170&gt;=3,"Watch","OK")))</x:f>
      </x:c>
    </x:row>
    <x:row r="171">
      <x:c r="A171" s="17" t="str">
        <x:f>IF(Students!A171="","",Students!A171)</x:f>
      </x:c>
      <x:c r="B171" s="17" t="str">
        <x:f>IF(A171="","",Students!F171)</x:f>
      </x:c>
      <x:c r="C171" s="17" t="str">
        <x:f>IF(A171="","",Students!G171)</x:f>
      </x:c>
      <x:c r="D171" s="17" t="str">
        <x:f>IF(A171="","",Students!H171)</x:f>
      </x:c>
      <x:c r="E171" s="22" t="str">
        <x:f>IF(A171="","",COUNTIFS(Late_Transactions!E:E,A171,Late_Transactions!K:K,"Recorded"))</x:f>
      </x:c>
      <x:c r="F171" s="21" t="n">
        <x:f>IFERROR(MAXIFS(Late_Transactions!C:C,Late_Transactions!E:E,A171,Late_Transactions!K:K,"Recorded"),"")</x:f>
        <x:v>0</x:v>
      </x:c>
      <x:c r="G171" s="17" t="str">
        <x:f>IF(E171="","",IF(E171&gt;=5,"High",IF(E171&gt;=3,"Watch","OK")))</x:f>
      </x:c>
    </x:row>
    <x:row r="172">
      <x:c r="A172" s="17" t="str">
        <x:f>IF(Students!A172="","",Students!A172)</x:f>
      </x:c>
      <x:c r="B172" s="17" t="str">
        <x:f>IF(A172="","",Students!F172)</x:f>
      </x:c>
      <x:c r="C172" s="17" t="str">
        <x:f>IF(A172="","",Students!G172)</x:f>
      </x:c>
      <x:c r="D172" s="17" t="str">
        <x:f>IF(A172="","",Students!H172)</x:f>
      </x:c>
      <x:c r="E172" s="22" t="str">
        <x:f>IF(A172="","",COUNTIFS(Late_Transactions!E:E,A172,Late_Transactions!K:K,"Recorded"))</x:f>
      </x:c>
      <x:c r="F172" s="21" t="n">
        <x:f>IFERROR(MAXIFS(Late_Transactions!C:C,Late_Transactions!E:E,A172,Late_Transactions!K:K,"Recorded"),"")</x:f>
        <x:v>0</x:v>
      </x:c>
      <x:c r="G172" s="17" t="str">
        <x:f>IF(E172="","",IF(E172&gt;=5,"High",IF(E172&gt;=3,"Watch","OK")))</x:f>
      </x:c>
    </x:row>
    <x:row r="173">
      <x:c r="A173" s="17" t="str">
        <x:f>IF(Students!A173="","",Students!A173)</x:f>
      </x:c>
      <x:c r="B173" s="17" t="str">
        <x:f>IF(A173="","",Students!F173)</x:f>
      </x:c>
      <x:c r="C173" s="17" t="str">
        <x:f>IF(A173="","",Students!G173)</x:f>
      </x:c>
      <x:c r="D173" s="17" t="str">
        <x:f>IF(A173="","",Students!H173)</x:f>
      </x:c>
      <x:c r="E173" s="22" t="str">
        <x:f>IF(A173="","",COUNTIFS(Late_Transactions!E:E,A173,Late_Transactions!K:K,"Recorded"))</x:f>
      </x:c>
      <x:c r="F173" s="21" t="n">
        <x:f>IFERROR(MAXIFS(Late_Transactions!C:C,Late_Transactions!E:E,A173,Late_Transactions!K:K,"Recorded"),"")</x:f>
        <x:v>0</x:v>
      </x:c>
      <x:c r="G173" s="17" t="str">
        <x:f>IF(E173="","",IF(E173&gt;=5,"High",IF(E173&gt;=3,"Watch","OK")))</x:f>
      </x:c>
    </x:row>
    <x:row r="174">
      <x:c r="A174" s="17" t="str">
        <x:f>IF(Students!A174="","",Students!A174)</x:f>
      </x:c>
      <x:c r="B174" s="17" t="str">
        <x:f>IF(A174="","",Students!F174)</x:f>
      </x:c>
      <x:c r="C174" s="17" t="str">
        <x:f>IF(A174="","",Students!G174)</x:f>
      </x:c>
      <x:c r="D174" s="17" t="str">
        <x:f>IF(A174="","",Students!H174)</x:f>
      </x:c>
      <x:c r="E174" s="22" t="str">
        <x:f>IF(A174="","",COUNTIFS(Late_Transactions!E:E,A174,Late_Transactions!K:K,"Recorded"))</x:f>
      </x:c>
      <x:c r="F174" s="21" t="n">
        <x:f>IFERROR(MAXIFS(Late_Transactions!C:C,Late_Transactions!E:E,A174,Late_Transactions!K:K,"Recorded"),"")</x:f>
        <x:v>0</x:v>
      </x:c>
      <x:c r="G174" s="17" t="str">
        <x:f>IF(E174="","",IF(E174&gt;=5,"High",IF(E174&gt;=3,"Watch","OK")))</x:f>
      </x:c>
    </x:row>
    <x:row r="175">
      <x:c r="A175" s="17" t="str">
        <x:f>IF(Students!A175="","",Students!A175)</x:f>
      </x:c>
      <x:c r="B175" s="17" t="str">
        <x:f>IF(A175="","",Students!F175)</x:f>
      </x:c>
      <x:c r="C175" s="17" t="str">
        <x:f>IF(A175="","",Students!G175)</x:f>
      </x:c>
      <x:c r="D175" s="17" t="str">
        <x:f>IF(A175="","",Students!H175)</x:f>
      </x:c>
      <x:c r="E175" s="22" t="str">
        <x:f>IF(A175="","",COUNTIFS(Late_Transactions!E:E,A175,Late_Transactions!K:K,"Recorded"))</x:f>
      </x:c>
      <x:c r="F175" s="21" t="n">
        <x:f>IFERROR(MAXIFS(Late_Transactions!C:C,Late_Transactions!E:E,A175,Late_Transactions!K:K,"Recorded"),"")</x:f>
        <x:v>0</x:v>
      </x:c>
      <x:c r="G175" s="17" t="str">
        <x:f>IF(E175="","",IF(E175&gt;=5,"High",IF(E175&gt;=3,"Watch","OK")))</x:f>
      </x:c>
    </x:row>
    <x:row r="176">
      <x:c r="A176" s="17" t="str">
        <x:f>IF(Students!A176="","",Students!A176)</x:f>
      </x:c>
      <x:c r="B176" s="17" t="str">
        <x:f>IF(A176="","",Students!F176)</x:f>
      </x:c>
      <x:c r="C176" s="17" t="str">
        <x:f>IF(A176="","",Students!G176)</x:f>
      </x:c>
      <x:c r="D176" s="17" t="str">
        <x:f>IF(A176="","",Students!H176)</x:f>
      </x:c>
      <x:c r="E176" s="22" t="str">
        <x:f>IF(A176="","",COUNTIFS(Late_Transactions!E:E,A176,Late_Transactions!K:K,"Recorded"))</x:f>
      </x:c>
      <x:c r="F176" s="21" t="n">
        <x:f>IFERROR(MAXIFS(Late_Transactions!C:C,Late_Transactions!E:E,A176,Late_Transactions!K:K,"Recorded"),"")</x:f>
        <x:v>0</x:v>
      </x:c>
      <x:c r="G176" s="17" t="str">
        <x:f>IF(E176="","",IF(E176&gt;=5,"High",IF(E176&gt;=3,"Watch","OK")))</x:f>
      </x:c>
    </x:row>
    <x:row r="177">
      <x:c r="A177" s="17" t="str">
        <x:f>IF(Students!A177="","",Students!A177)</x:f>
      </x:c>
      <x:c r="B177" s="17" t="str">
        <x:f>IF(A177="","",Students!F177)</x:f>
      </x:c>
      <x:c r="C177" s="17" t="str">
        <x:f>IF(A177="","",Students!G177)</x:f>
      </x:c>
      <x:c r="D177" s="17" t="str">
        <x:f>IF(A177="","",Students!H177)</x:f>
      </x:c>
      <x:c r="E177" s="22" t="str">
        <x:f>IF(A177="","",COUNTIFS(Late_Transactions!E:E,A177,Late_Transactions!K:K,"Recorded"))</x:f>
      </x:c>
      <x:c r="F177" s="21" t="n">
        <x:f>IFERROR(MAXIFS(Late_Transactions!C:C,Late_Transactions!E:E,A177,Late_Transactions!K:K,"Recorded"),"")</x:f>
        <x:v>0</x:v>
      </x:c>
      <x:c r="G177" s="17" t="str">
        <x:f>IF(E177="","",IF(E177&gt;=5,"High",IF(E177&gt;=3,"Watch","OK")))</x:f>
      </x:c>
    </x:row>
    <x:row r="178">
      <x:c r="A178" s="17" t="str">
        <x:f>IF(Students!A178="","",Students!A178)</x:f>
      </x:c>
      <x:c r="B178" s="17" t="str">
        <x:f>IF(A178="","",Students!F178)</x:f>
      </x:c>
      <x:c r="C178" s="17" t="str">
        <x:f>IF(A178="","",Students!G178)</x:f>
      </x:c>
      <x:c r="D178" s="17" t="str">
        <x:f>IF(A178="","",Students!H178)</x:f>
      </x:c>
      <x:c r="E178" s="22" t="str">
        <x:f>IF(A178="","",COUNTIFS(Late_Transactions!E:E,A178,Late_Transactions!K:K,"Recorded"))</x:f>
      </x:c>
      <x:c r="F178" s="21" t="n">
        <x:f>IFERROR(MAXIFS(Late_Transactions!C:C,Late_Transactions!E:E,A178,Late_Transactions!K:K,"Recorded"),"")</x:f>
        <x:v>0</x:v>
      </x:c>
      <x:c r="G178" s="17" t="str">
        <x:f>IF(E178="","",IF(E178&gt;=5,"High",IF(E178&gt;=3,"Watch","OK")))</x:f>
      </x:c>
    </x:row>
    <x:row r="179">
      <x:c r="A179" s="17" t="str">
        <x:f>IF(Students!A179="","",Students!A179)</x:f>
      </x:c>
      <x:c r="B179" s="17" t="str">
        <x:f>IF(A179="","",Students!F179)</x:f>
      </x:c>
      <x:c r="C179" s="17" t="str">
        <x:f>IF(A179="","",Students!G179)</x:f>
      </x:c>
      <x:c r="D179" s="17" t="str">
        <x:f>IF(A179="","",Students!H179)</x:f>
      </x:c>
      <x:c r="E179" s="22" t="str">
        <x:f>IF(A179="","",COUNTIFS(Late_Transactions!E:E,A179,Late_Transactions!K:K,"Recorded"))</x:f>
      </x:c>
      <x:c r="F179" s="21" t="n">
        <x:f>IFERROR(MAXIFS(Late_Transactions!C:C,Late_Transactions!E:E,A179,Late_Transactions!K:K,"Recorded"),"")</x:f>
        <x:v>0</x:v>
      </x:c>
      <x:c r="G179" s="17" t="str">
        <x:f>IF(E179="","",IF(E179&gt;=5,"High",IF(E179&gt;=3,"Watch","OK")))</x:f>
      </x:c>
    </x:row>
    <x:row r="180">
      <x:c r="A180" s="17" t="str">
        <x:f>IF(Students!A180="","",Students!A180)</x:f>
      </x:c>
      <x:c r="B180" s="17" t="str">
        <x:f>IF(A180="","",Students!F180)</x:f>
      </x:c>
      <x:c r="C180" s="17" t="str">
        <x:f>IF(A180="","",Students!G180)</x:f>
      </x:c>
      <x:c r="D180" s="17" t="str">
        <x:f>IF(A180="","",Students!H180)</x:f>
      </x:c>
      <x:c r="E180" s="22" t="str">
        <x:f>IF(A180="","",COUNTIFS(Late_Transactions!E:E,A180,Late_Transactions!K:K,"Recorded"))</x:f>
      </x:c>
      <x:c r="F180" s="21" t="n">
        <x:f>IFERROR(MAXIFS(Late_Transactions!C:C,Late_Transactions!E:E,A180,Late_Transactions!K:K,"Recorded"),"")</x:f>
        <x:v>0</x:v>
      </x:c>
      <x:c r="G180" s="17" t="str">
        <x:f>IF(E180="","",IF(E180&gt;=5,"High",IF(E180&gt;=3,"Watch","OK")))</x:f>
      </x:c>
    </x:row>
    <x:row r="181">
      <x:c r="A181" s="17" t="str">
        <x:f>IF(Students!A181="","",Students!A181)</x:f>
      </x:c>
      <x:c r="B181" s="17" t="str">
        <x:f>IF(A181="","",Students!F181)</x:f>
      </x:c>
      <x:c r="C181" s="17" t="str">
        <x:f>IF(A181="","",Students!G181)</x:f>
      </x:c>
      <x:c r="D181" s="17" t="str">
        <x:f>IF(A181="","",Students!H181)</x:f>
      </x:c>
      <x:c r="E181" s="22" t="str">
        <x:f>IF(A181="","",COUNTIFS(Late_Transactions!E:E,A181,Late_Transactions!K:K,"Recorded"))</x:f>
      </x:c>
      <x:c r="F181" s="21" t="n">
        <x:f>IFERROR(MAXIFS(Late_Transactions!C:C,Late_Transactions!E:E,A181,Late_Transactions!K:K,"Recorded"),"")</x:f>
        <x:v>0</x:v>
      </x:c>
      <x:c r="G181" s="17" t="str">
        <x:f>IF(E181="","",IF(E181&gt;=5,"High",IF(E181&gt;=3,"Watch","OK")))</x:f>
      </x:c>
    </x:row>
    <x:row r="182">
      <x:c r="A182" s="17" t="str">
        <x:f>IF(Students!A182="","",Students!A182)</x:f>
      </x:c>
      <x:c r="B182" s="17" t="str">
        <x:f>IF(A182="","",Students!F182)</x:f>
      </x:c>
      <x:c r="C182" s="17" t="str">
        <x:f>IF(A182="","",Students!G182)</x:f>
      </x:c>
      <x:c r="D182" s="17" t="str">
        <x:f>IF(A182="","",Students!H182)</x:f>
      </x:c>
      <x:c r="E182" s="22" t="str">
        <x:f>IF(A182="","",COUNTIFS(Late_Transactions!E:E,A182,Late_Transactions!K:K,"Recorded"))</x:f>
      </x:c>
      <x:c r="F182" s="21" t="n">
        <x:f>IFERROR(MAXIFS(Late_Transactions!C:C,Late_Transactions!E:E,A182,Late_Transactions!K:K,"Recorded"),"")</x:f>
        <x:v>0</x:v>
      </x:c>
      <x:c r="G182" s="17" t="str">
        <x:f>IF(E182="","",IF(E182&gt;=5,"High",IF(E182&gt;=3,"Watch","OK")))</x:f>
      </x:c>
    </x:row>
    <x:row r="183">
      <x:c r="A183" s="17" t="str">
        <x:f>IF(Students!A183="","",Students!A183)</x:f>
      </x:c>
      <x:c r="B183" s="17" t="str">
        <x:f>IF(A183="","",Students!F183)</x:f>
      </x:c>
      <x:c r="C183" s="17" t="str">
        <x:f>IF(A183="","",Students!G183)</x:f>
      </x:c>
      <x:c r="D183" s="17" t="str">
        <x:f>IF(A183="","",Students!H183)</x:f>
      </x:c>
      <x:c r="E183" s="22" t="str">
        <x:f>IF(A183="","",COUNTIFS(Late_Transactions!E:E,A183,Late_Transactions!K:K,"Recorded"))</x:f>
      </x:c>
      <x:c r="F183" s="21" t="n">
        <x:f>IFERROR(MAXIFS(Late_Transactions!C:C,Late_Transactions!E:E,A183,Late_Transactions!K:K,"Recorded"),"")</x:f>
        <x:v>0</x:v>
      </x:c>
      <x:c r="G183" s="17" t="str">
        <x:f>IF(E183="","",IF(E183&gt;=5,"High",IF(E183&gt;=3,"Watch","OK")))</x:f>
      </x:c>
    </x:row>
    <x:row r="184">
      <x:c r="A184" s="17" t="str">
        <x:f>IF(Students!A184="","",Students!A184)</x:f>
      </x:c>
      <x:c r="B184" s="17" t="str">
        <x:f>IF(A184="","",Students!F184)</x:f>
      </x:c>
      <x:c r="C184" s="17" t="str">
        <x:f>IF(A184="","",Students!G184)</x:f>
      </x:c>
      <x:c r="D184" s="17" t="str">
        <x:f>IF(A184="","",Students!H184)</x:f>
      </x:c>
      <x:c r="E184" s="22" t="str">
        <x:f>IF(A184="","",COUNTIFS(Late_Transactions!E:E,A184,Late_Transactions!K:K,"Recorded"))</x:f>
      </x:c>
      <x:c r="F184" s="21" t="n">
        <x:f>IFERROR(MAXIFS(Late_Transactions!C:C,Late_Transactions!E:E,A184,Late_Transactions!K:K,"Recorded"),"")</x:f>
        <x:v>0</x:v>
      </x:c>
      <x:c r="G184" s="17" t="str">
        <x:f>IF(E184="","",IF(E184&gt;=5,"High",IF(E184&gt;=3,"Watch","OK")))</x:f>
      </x:c>
    </x:row>
    <x:row r="185">
      <x:c r="A185" s="17" t="str">
        <x:f>IF(Students!A185="","",Students!A185)</x:f>
      </x:c>
      <x:c r="B185" s="17" t="str">
        <x:f>IF(A185="","",Students!F185)</x:f>
      </x:c>
      <x:c r="C185" s="17" t="str">
        <x:f>IF(A185="","",Students!G185)</x:f>
      </x:c>
      <x:c r="D185" s="17" t="str">
        <x:f>IF(A185="","",Students!H185)</x:f>
      </x:c>
      <x:c r="E185" s="22" t="str">
        <x:f>IF(A185="","",COUNTIFS(Late_Transactions!E:E,A185,Late_Transactions!K:K,"Recorded"))</x:f>
      </x:c>
      <x:c r="F185" s="21" t="n">
        <x:f>IFERROR(MAXIFS(Late_Transactions!C:C,Late_Transactions!E:E,A185,Late_Transactions!K:K,"Recorded"),"")</x:f>
        <x:v>0</x:v>
      </x:c>
      <x:c r="G185" s="17" t="str">
        <x:f>IF(E185="","",IF(E185&gt;=5,"High",IF(E185&gt;=3,"Watch","OK")))</x:f>
      </x:c>
    </x:row>
    <x:row r="186">
      <x:c r="A186" s="17" t="str">
        <x:f>IF(Students!A186="","",Students!A186)</x:f>
      </x:c>
      <x:c r="B186" s="17" t="str">
        <x:f>IF(A186="","",Students!F186)</x:f>
      </x:c>
      <x:c r="C186" s="17" t="str">
        <x:f>IF(A186="","",Students!G186)</x:f>
      </x:c>
      <x:c r="D186" s="17" t="str">
        <x:f>IF(A186="","",Students!H186)</x:f>
      </x:c>
      <x:c r="E186" s="22" t="str">
        <x:f>IF(A186="","",COUNTIFS(Late_Transactions!E:E,A186,Late_Transactions!K:K,"Recorded"))</x:f>
      </x:c>
      <x:c r="F186" s="21" t="n">
        <x:f>IFERROR(MAXIFS(Late_Transactions!C:C,Late_Transactions!E:E,A186,Late_Transactions!K:K,"Recorded"),"")</x:f>
        <x:v>0</x:v>
      </x:c>
      <x:c r="G186" s="17" t="str">
        <x:f>IF(E186="","",IF(E186&gt;=5,"High",IF(E186&gt;=3,"Watch","OK")))</x:f>
      </x:c>
    </x:row>
    <x:row r="187">
      <x:c r="A187" s="17" t="str">
        <x:f>IF(Students!A187="","",Students!A187)</x:f>
      </x:c>
      <x:c r="B187" s="17" t="str">
        <x:f>IF(A187="","",Students!F187)</x:f>
      </x:c>
      <x:c r="C187" s="17" t="str">
        <x:f>IF(A187="","",Students!G187)</x:f>
      </x:c>
      <x:c r="D187" s="17" t="str">
        <x:f>IF(A187="","",Students!H187)</x:f>
      </x:c>
      <x:c r="E187" s="22" t="str">
        <x:f>IF(A187="","",COUNTIFS(Late_Transactions!E:E,A187,Late_Transactions!K:K,"Recorded"))</x:f>
      </x:c>
      <x:c r="F187" s="21" t="n">
        <x:f>IFERROR(MAXIFS(Late_Transactions!C:C,Late_Transactions!E:E,A187,Late_Transactions!K:K,"Recorded"),"")</x:f>
        <x:v>0</x:v>
      </x:c>
      <x:c r="G187" s="17" t="str">
        <x:f>IF(E187="","",IF(E187&gt;=5,"High",IF(E187&gt;=3,"Watch","OK")))</x:f>
      </x:c>
    </x:row>
    <x:row r="188">
      <x:c r="A188" s="17" t="str">
        <x:f>IF(Students!A188="","",Students!A188)</x:f>
      </x:c>
      <x:c r="B188" s="17" t="str">
        <x:f>IF(A188="","",Students!F188)</x:f>
      </x:c>
      <x:c r="C188" s="17" t="str">
        <x:f>IF(A188="","",Students!G188)</x:f>
      </x:c>
      <x:c r="D188" s="17" t="str">
        <x:f>IF(A188="","",Students!H188)</x:f>
      </x:c>
      <x:c r="E188" s="22" t="str">
        <x:f>IF(A188="","",COUNTIFS(Late_Transactions!E:E,A188,Late_Transactions!K:K,"Recorded"))</x:f>
      </x:c>
      <x:c r="F188" s="21" t="n">
        <x:f>IFERROR(MAXIFS(Late_Transactions!C:C,Late_Transactions!E:E,A188,Late_Transactions!K:K,"Recorded"),"")</x:f>
        <x:v>0</x:v>
      </x:c>
      <x:c r="G188" s="17" t="str">
        <x:f>IF(E188="","",IF(E188&gt;=5,"High",IF(E188&gt;=3,"Watch","OK")))</x:f>
      </x:c>
    </x:row>
    <x:row r="189">
      <x:c r="A189" s="17" t="str">
        <x:f>IF(Students!A189="","",Students!A189)</x:f>
      </x:c>
      <x:c r="B189" s="17" t="str">
        <x:f>IF(A189="","",Students!F189)</x:f>
      </x:c>
      <x:c r="C189" s="17" t="str">
        <x:f>IF(A189="","",Students!G189)</x:f>
      </x:c>
      <x:c r="D189" s="17" t="str">
        <x:f>IF(A189="","",Students!H189)</x:f>
      </x:c>
      <x:c r="E189" s="22" t="str">
        <x:f>IF(A189="","",COUNTIFS(Late_Transactions!E:E,A189,Late_Transactions!K:K,"Recorded"))</x:f>
      </x:c>
      <x:c r="F189" s="21" t="n">
        <x:f>IFERROR(MAXIFS(Late_Transactions!C:C,Late_Transactions!E:E,A189,Late_Transactions!K:K,"Recorded"),"")</x:f>
        <x:v>0</x:v>
      </x:c>
      <x:c r="G189" s="17" t="str">
        <x:f>IF(E189="","",IF(E189&gt;=5,"High",IF(E189&gt;=3,"Watch","OK")))</x:f>
      </x:c>
    </x:row>
    <x:row r="190">
      <x:c r="A190" s="17" t="str">
        <x:f>IF(Students!A190="","",Students!A190)</x:f>
      </x:c>
      <x:c r="B190" s="17" t="str">
        <x:f>IF(A190="","",Students!F190)</x:f>
      </x:c>
      <x:c r="C190" s="17" t="str">
        <x:f>IF(A190="","",Students!G190)</x:f>
      </x:c>
      <x:c r="D190" s="17" t="str">
        <x:f>IF(A190="","",Students!H190)</x:f>
      </x:c>
      <x:c r="E190" s="22" t="str">
        <x:f>IF(A190="","",COUNTIFS(Late_Transactions!E:E,A190,Late_Transactions!K:K,"Recorded"))</x:f>
      </x:c>
      <x:c r="F190" s="21" t="n">
        <x:f>IFERROR(MAXIFS(Late_Transactions!C:C,Late_Transactions!E:E,A190,Late_Transactions!K:K,"Recorded"),"")</x:f>
        <x:v>0</x:v>
      </x:c>
      <x:c r="G190" s="17" t="str">
        <x:f>IF(E190="","",IF(E190&gt;=5,"High",IF(E190&gt;=3,"Watch","OK")))</x:f>
      </x:c>
    </x:row>
    <x:row r="191">
      <x:c r="A191" s="17" t="str">
        <x:f>IF(Students!A191="","",Students!A191)</x:f>
      </x:c>
      <x:c r="B191" s="17" t="str">
        <x:f>IF(A191="","",Students!F191)</x:f>
      </x:c>
      <x:c r="C191" s="17" t="str">
        <x:f>IF(A191="","",Students!G191)</x:f>
      </x:c>
      <x:c r="D191" s="17" t="str">
        <x:f>IF(A191="","",Students!H191)</x:f>
      </x:c>
      <x:c r="E191" s="22" t="str">
        <x:f>IF(A191="","",COUNTIFS(Late_Transactions!E:E,A191,Late_Transactions!K:K,"Recorded"))</x:f>
      </x:c>
      <x:c r="F191" s="21" t="n">
        <x:f>IFERROR(MAXIFS(Late_Transactions!C:C,Late_Transactions!E:E,A191,Late_Transactions!K:K,"Recorded"),"")</x:f>
        <x:v>0</x:v>
      </x:c>
      <x:c r="G191" s="17" t="str">
        <x:f>IF(E191="","",IF(E191&gt;=5,"High",IF(E191&gt;=3,"Watch","OK")))</x:f>
      </x:c>
    </x:row>
    <x:row r="192">
      <x:c r="A192" s="17" t="str">
        <x:f>IF(Students!A192="","",Students!A192)</x:f>
      </x:c>
      <x:c r="B192" s="17" t="str">
        <x:f>IF(A192="","",Students!F192)</x:f>
      </x:c>
      <x:c r="C192" s="17" t="str">
        <x:f>IF(A192="","",Students!G192)</x:f>
      </x:c>
      <x:c r="D192" s="17" t="str">
        <x:f>IF(A192="","",Students!H192)</x:f>
      </x:c>
      <x:c r="E192" s="22" t="str">
        <x:f>IF(A192="","",COUNTIFS(Late_Transactions!E:E,A192,Late_Transactions!K:K,"Recorded"))</x:f>
      </x:c>
      <x:c r="F192" s="21" t="n">
        <x:f>IFERROR(MAXIFS(Late_Transactions!C:C,Late_Transactions!E:E,A192,Late_Transactions!K:K,"Recorded"),"")</x:f>
        <x:v>0</x:v>
      </x:c>
      <x:c r="G192" s="17" t="str">
        <x:f>IF(E192="","",IF(E192&gt;=5,"High",IF(E192&gt;=3,"Watch","OK")))</x:f>
      </x:c>
    </x:row>
    <x:row r="193">
      <x:c r="A193" s="17" t="str">
        <x:f>IF(Students!A193="","",Students!A193)</x:f>
      </x:c>
      <x:c r="B193" s="17" t="str">
        <x:f>IF(A193="","",Students!F193)</x:f>
      </x:c>
      <x:c r="C193" s="17" t="str">
        <x:f>IF(A193="","",Students!G193)</x:f>
      </x:c>
      <x:c r="D193" s="17" t="str">
        <x:f>IF(A193="","",Students!H193)</x:f>
      </x:c>
      <x:c r="E193" s="22" t="str">
        <x:f>IF(A193="","",COUNTIFS(Late_Transactions!E:E,A193,Late_Transactions!K:K,"Recorded"))</x:f>
      </x:c>
      <x:c r="F193" s="21" t="n">
        <x:f>IFERROR(MAXIFS(Late_Transactions!C:C,Late_Transactions!E:E,A193,Late_Transactions!K:K,"Recorded"),"")</x:f>
        <x:v>0</x:v>
      </x:c>
      <x:c r="G193" s="17" t="str">
        <x:f>IF(E193="","",IF(E193&gt;=5,"High",IF(E193&gt;=3,"Watch","OK")))</x:f>
      </x:c>
    </x:row>
    <x:row r="194">
      <x:c r="A194" s="17" t="str">
        <x:f>IF(Students!A194="","",Students!A194)</x:f>
      </x:c>
      <x:c r="B194" s="17" t="str">
        <x:f>IF(A194="","",Students!F194)</x:f>
      </x:c>
      <x:c r="C194" s="17" t="str">
        <x:f>IF(A194="","",Students!G194)</x:f>
      </x:c>
      <x:c r="D194" s="17" t="str">
        <x:f>IF(A194="","",Students!H194)</x:f>
      </x:c>
      <x:c r="E194" s="22" t="str">
        <x:f>IF(A194="","",COUNTIFS(Late_Transactions!E:E,A194,Late_Transactions!K:K,"Recorded"))</x:f>
      </x:c>
      <x:c r="F194" s="21" t="n">
        <x:f>IFERROR(MAXIFS(Late_Transactions!C:C,Late_Transactions!E:E,A194,Late_Transactions!K:K,"Recorded"),"")</x:f>
        <x:v>0</x:v>
      </x:c>
      <x:c r="G194" s="17" t="str">
        <x:f>IF(E194="","",IF(E194&gt;=5,"High",IF(E194&gt;=3,"Watch","OK")))</x:f>
      </x:c>
    </x:row>
    <x:row r="195">
      <x:c r="A195" s="17" t="str">
        <x:f>IF(Students!A195="","",Students!A195)</x:f>
      </x:c>
      <x:c r="B195" s="17" t="str">
        <x:f>IF(A195="","",Students!F195)</x:f>
      </x:c>
      <x:c r="C195" s="17" t="str">
        <x:f>IF(A195="","",Students!G195)</x:f>
      </x:c>
      <x:c r="D195" s="17" t="str">
        <x:f>IF(A195="","",Students!H195)</x:f>
      </x:c>
      <x:c r="E195" s="22" t="str">
        <x:f>IF(A195="","",COUNTIFS(Late_Transactions!E:E,A195,Late_Transactions!K:K,"Recorded"))</x:f>
      </x:c>
      <x:c r="F195" s="21" t="n">
        <x:f>IFERROR(MAXIFS(Late_Transactions!C:C,Late_Transactions!E:E,A195,Late_Transactions!K:K,"Recorded"),"")</x:f>
        <x:v>0</x:v>
      </x:c>
      <x:c r="G195" s="17" t="str">
        <x:f>IF(E195="","",IF(E195&gt;=5,"High",IF(E195&gt;=3,"Watch","OK")))</x:f>
      </x:c>
    </x:row>
    <x:row r="196">
      <x:c r="A196" s="17" t="str">
        <x:f>IF(Students!A196="","",Students!A196)</x:f>
      </x:c>
      <x:c r="B196" s="17" t="str">
        <x:f>IF(A196="","",Students!F196)</x:f>
      </x:c>
      <x:c r="C196" s="17" t="str">
        <x:f>IF(A196="","",Students!G196)</x:f>
      </x:c>
      <x:c r="D196" s="17" t="str">
        <x:f>IF(A196="","",Students!H196)</x:f>
      </x:c>
      <x:c r="E196" s="22" t="str">
        <x:f>IF(A196="","",COUNTIFS(Late_Transactions!E:E,A196,Late_Transactions!K:K,"Recorded"))</x:f>
      </x:c>
      <x:c r="F196" s="21" t="n">
        <x:f>IFERROR(MAXIFS(Late_Transactions!C:C,Late_Transactions!E:E,A196,Late_Transactions!K:K,"Recorded"),"")</x:f>
        <x:v>0</x:v>
      </x:c>
      <x:c r="G196" s="17" t="str">
        <x:f>IF(E196="","",IF(E196&gt;=5,"High",IF(E196&gt;=3,"Watch","OK")))</x:f>
      </x:c>
    </x:row>
    <x:row r="197">
      <x:c r="A197" s="17" t="str">
        <x:f>IF(Students!A197="","",Students!A197)</x:f>
      </x:c>
      <x:c r="B197" s="17" t="str">
        <x:f>IF(A197="","",Students!F197)</x:f>
      </x:c>
      <x:c r="C197" s="17" t="str">
        <x:f>IF(A197="","",Students!G197)</x:f>
      </x:c>
      <x:c r="D197" s="17" t="str">
        <x:f>IF(A197="","",Students!H197)</x:f>
      </x:c>
      <x:c r="E197" s="22" t="str">
        <x:f>IF(A197="","",COUNTIFS(Late_Transactions!E:E,A197,Late_Transactions!K:K,"Recorded"))</x:f>
      </x:c>
      <x:c r="F197" s="21" t="n">
        <x:f>IFERROR(MAXIFS(Late_Transactions!C:C,Late_Transactions!E:E,A197,Late_Transactions!K:K,"Recorded"),"")</x:f>
        <x:v>0</x:v>
      </x:c>
      <x:c r="G197" s="17" t="str">
        <x:f>IF(E197="","",IF(E197&gt;=5,"High",IF(E197&gt;=3,"Watch","OK")))</x:f>
      </x:c>
    </x:row>
    <x:row r="198">
      <x:c r="A198" s="17" t="str">
        <x:f>IF(Students!A198="","",Students!A198)</x:f>
      </x:c>
      <x:c r="B198" s="17" t="str">
        <x:f>IF(A198="","",Students!F198)</x:f>
      </x:c>
      <x:c r="C198" s="17" t="str">
        <x:f>IF(A198="","",Students!G198)</x:f>
      </x:c>
      <x:c r="D198" s="17" t="str">
        <x:f>IF(A198="","",Students!H198)</x:f>
      </x:c>
      <x:c r="E198" s="22" t="str">
        <x:f>IF(A198="","",COUNTIFS(Late_Transactions!E:E,A198,Late_Transactions!K:K,"Recorded"))</x:f>
      </x:c>
      <x:c r="F198" s="21" t="n">
        <x:f>IFERROR(MAXIFS(Late_Transactions!C:C,Late_Transactions!E:E,A198,Late_Transactions!K:K,"Recorded"),"")</x:f>
        <x:v>0</x:v>
      </x:c>
      <x:c r="G198" s="17" t="str">
        <x:f>IF(E198="","",IF(E198&gt;=5,"High",IF(E198&gt;=3,"Watch","OK")))</x:f>
      </x:c>
    </x:row>
    <x:row r="199">
      <x:c r="A199" s="17" t="str">
        <x:f>IF(Students!A199="","",Students!A199)</x:f>
      </x:c>
      <x:c r="B199" s="17" t="str">
        <x:f>IF(A199="","",Students!F199)</x:f>
      </x:c>
      <x:c r="C199" s="17" t="str">
        <x:f>IF(A199="","",Students!G199)</x:f>
      </x:c>
      <x:c r="D199" s="17" t="str">
        <x:f>IF(A199="","",Students!H199)</x:f>
      </x:c>
      <x:c r="E199" s="22" t="str">
        <x:f>IF(A199="","",COUNTIFS(Late_Transactions!E:E,A199,Late_Transactions!K:K,"Recorded"))</x:f>
      </x:c>
      <x:c r="F199" s="21" t="n">
        <x:f>IFERROR(MAXIFS(Late_Transactions!C:C,Late_Transactions!E:E,A199,Late_Transactions!K:K,"Recorded"),"")</x:f>
        <x:v>0</x:v>
      </x:c>
      <x:c r="G199" s="17" t="str">
        <x:f>IF(E199="","",IF(E199&gt;=5,"High",IF(E199&gt;=3,"Watch","OK")))</x:f>
      </x:c>
    </x:row>
    <x:row r="200">
      <x:c r="A200" s="17" t="str">
        <x:f>IF(Students!A200="","",Students!A200)</x:f>
      </x:c>
      <x:c r="B200" s="17" t="str">
        <x:f>IF(A200="","",Students!F200)</x:f>
      </x:c>
      <x:c r="C200" s="17" t="str">
        <x:f>IF(A200="","",Students!G200)</x:f>
      </x:c>
      <x:c r="D200" s="17" t="str">
        <x:f>IF(A200="","",Students!H200)</x:f>
      </x:c>
      <x:c r="E200" s="22" t="str">
        <x:f>IF(A200="","",COUNTIFS(Late_Transactions!E:E,A200,Late_Transactions!K:K,"Recorded"))</x:f>
      </x:c>
      <x:c r="F200" s="21" t="n">
        <x:f>IFERROR(MAXIFS(Late_Transactions!C:C,Late_Transactions!E:E,A200,Late_Transactions!K:K,"Recorded"),"")</x:f>
        <x:v>0</x:v>
      </x:c>
      <x:c r="G200" s="17" t="str">
        <x:f>IF(E200="","",IF(E200&gt;=5,"High",IF(E200&gt;=3,"Watch","OK")))</x:f>
      </x:c>
    </x:row>
    <x:row r="201">
      <x:c r="A201" s="17" t="str">
        <x:f>IF(Students!A201="","",Students!A201)</x:f>
      </x:c>
      <x:c r="B201" s="17" t="str">
        <x:f>IF(A201="","",Students!F201)</x:f>
      </x:c>
      <x:c r="C201" s="17" t="str">
        <x:f>IF(A201="","",Students!G201)</x:f>
      </x:c>
      <x:c r="D201" s="17" t="str">
        <x:f>IF(A201="","",Students!H201)</x:f>
      </x:c>
      <x:c r="E201" s="22" t="str">
        <x:f>IF(A201="","",COUNTIFS(Late_Transactions!E:E,A201,Late_Transactions!K:K,"Recorded"))</x:f>
      </x:c>
      <x:c r="F201" s="21" t="n">
        <x:f>IFERROR(MAXIFS(Late_Transactions!C:C,Late_Transactions!E:E,A201,Late_Transactions!K:K,"Recorded"),"")</x:f>
        <x:v>0</x:v>
      </x:c>
      <x:c r="G201" s="17" t="str">
        <x:f>IF(E201="","",IF(E201&gt;=5,"High",IF(E201&gt;=3,"Watch","OK")))</x:f>
      </x:c>
    </x:row>
    <x:row r="202">
      <x:c r="A202" s="17" t="str">
        <x:f>IF(Students!A202="","",Students!A202)</x:f>
      </x:c>
      <x:c r="B202" s="17" t="str">
        <x:f>IF(A202="","",Students!F202)</x:f>
      </x:c>
      <x:c r="C202" s="17" t="str">
        <x:f>IF(A202="","",Students!G202)</x:f>
      </x:c>
      <x:c r="D202" s="17" t="str">
        <x:f>IF(A202="","",Students!H202)</x:f>
      </x:c>
      <x:c r="E202" s="22" t="str">
        <x:f>IF(A202="","",COUNTIFS(Late_Transactions!E:E,A202,Late_Transactions!K:K,"Recorded"))</x:f>
      </x:c>
      <x:c r="F202" s="21" t="n">
        <x:f>IFERROR(MAXIFS(Late_Transactions!C:C,Late_Transactions!E:E,A202,Late_Transactions!K:K,"Recorded"),"")</x:f>
        <x:v>0</x:v>
      </x:c>
      <x:c r="G202" s="17" t="str">
        <x:f>IF(E202="","",IF(E202&gt;=5,"High",IF(E202&gt;=3,"Watch","OK")))</x:f>
      </x:c>
    </x:row>
    <x:row r="203">
      <x:c r="A203" s="17" t="str">
        <x:f>IF(Students!A203="","",Students!A203)</x:f>
      </x:c>
      <x:c r="B203" s="17" t="str">
        <x:f>IF(A203="","",Students!F203)</x:f>
      </x:c>
      <x:c r="C203" s="17" t="str">
        <x:f>IF(A203="","",Students!G203)</x:f>
      </x:c>
      <x:c r="D203" s="17" t="str">
        <x:f>IF(A203="","",Students!H203)</x:f>
      </x:c>
      <x:c r="E203" s="22" t="str">
        <x:f>IF(A203="","",COUNTIFS(Late_Transactions!E:E,A203,Late_Transactions!K:K,"Recorded"))</x:f>
      </x:c>
      <x:c r="F203" s="21" t="n">
        <x:f>IFERROR(MAXIFS(Late_Transactions!C:C,Late_Transactions!E:E,A203,Late_Transactions!K:K,"Recorded"),"")</x:f>
        <x:v>0</x:v>
      </x:c>
      <x:c r="G203" s="17" t="str">
        <x:f>IF(E203="","",IF(E203&gt;=5,"High",IF(E203&gt;=3,"Watch","OK")))</x:f>
      </x:c>
    </x:row>
    <x:row r="204">
      <x:c r="A204" s="17" t="str">
        <x:f>IF(Students!A204="","",Students!A204)</x:f>
      </x:c>
      <x:c r="B204" s="17" t="str">
        <x:f>IF(A204="","",Students!F204)</x:f>
      </x:c>
      <x:c r="C204" s="17" t="str">
        <x:f>IF(A204="","",Students!G204)</x:f>
      </x:c>
      <x:c r="D204" s="17" t="str">
        <x:f>IF(A204="","",Students!H204)</x:f>
      </x:c>
      <x:c r="E204" s="22" t="str">
        <x:f>IF(A204="","",COUNTIFS(Late_Transactions!E:E,A204,Late_Transactions!K:K,"Recorded"))</x:f>
      </x:c>
      <x:c r="F204" s="21" t="n">
        <x:f>IFERROR(MAXIFS(Late_Transactions!C:C,Late_Transactions!E:E,A204,Late_Transactions!K:K,"Recorded"),"")</x:f>
        <x:v>0</x:v>
      </x:c>
      <x:c r="G204" s="17" t="str">
        <x:f>IF(E204="","",IF(E204&gt;=5,"High",IF(E204&gt;=3,"Watch","OK")))</x:f>
      </x:c>
    </x:row>
    <x:row r="205">
      <x:c r="A205" s="17" t="str">
        <x:f>IF(Students!A205="","",Students!A205)</x:f>
      </x:c>
      <x:c r="B205" s="17" t="str">
        <x:f>IF(A205="","",Students!F205)</x:f>
      </x:c>
      <x:c r="C205" s="17" t="str">
        <x:f>IF(A205="","",Students!G205)</x:f>
      </x:c>
      <x:c r="D205" s="17" t="str">
        <x:f>IF(A205="","",Students!H205)</x:f>
      </x:c>
      <x:c r="E205" s="22" t="str">
        <x:f>IF(A205="","",COUNTIFS(Late_Transactions!E:E,A205,Late_Transactions!K:K,"Recorded"))</x:f>
      </x:c>
      <x:c r="F205" s="21" t="n">
        <x:f>IFERROR(MAXIFS(Late_Transactions!C:C,Late_Transactions!E:E,A205,Late_Transactions!K:K,"Recorded"),"")</x:f>
        <x:v>0</x:v>
      </x:c>
      <x:c r="G205" s="17" t="str">
        <x:f>IF(E205="","",IF(E205&gt;=5,"High",IF(E205&gt;=3,"Watch","OK")))</x:f>
      </x:c>
    </x:row>
    <x:row r="206">
      <x:c r="A206" s="17" t="str">
        <x:f>IF(Students!A206="","",Students!A206)</x:f>
      </x:c>
      <x:c r="B206" s="17" t="str">
        <x:f>IF(A206="","",Students!F206)</x:f>
      </x:c>
      <x:c r="C206" s="17" t="str">
        <x:f>IF(A206="","",Students!G206)</x:f>
      </x:c>
      <x:c r="D206" s="17" t="str">
        <x:f>IF(A206="","",Students!H206)</x:f>
      </x:c>
      <x:c r="E206" s="22" t="str">
        <x:f>IF(A206="","",COUNTIFS(Late_Transactions!E:E,A206,Late_Transactions!K:K,"Recorded"))</x:f>
      </x:c>
      <x:c r="F206" s="21" t="n">
        <x:f>IFERROR(MAXIFS(Late_Transactions!C:C,Late_Transactions!E:E,A206,Late_Transactions!K:K,"Recorded"),"")</x:f>
        <x:v>0</x:v>
      </x:c>
      <x:c r="G206" s="17" t="str">
        <x:f>IF(E206="","",IF(E206&gt;=5,"High",IF(E206&gt;=3,"Watch","OK")))</x:f>
      </x:c>
    </x:row>
    <x:row r="207">
      <x:c r="A207" s="17" t="str">
        <x:f>IF(Students!A207="","",Students!A207)</x:f>
      </x:c>
      <x:c r="B207" s="17" t="str">
        <x:f>IF(A207="","",Students!F207)</x:f>
      </x:c>
      <x:c r="C207" s="17" t="str">
        <x:f>IF(A207="","",Students!G207)</x:f>
      </x:c>
      <x:c r="D207" s="17" t="str">
        <x:f>IF(A207="","",Students!H207)</x:f>
      </x:c>
      <x:c r="E207" s="22" t="str">
        <x:f>IF(A207="","",COUNTIFS(Late_Transactions!E:E,A207,Late_Transactions!K:K,"Recorded"))</x:f>
      </x:c>
      <x:c r="F207" s="21" t="n">
        <x:f>IFERROR(MAXIFS(Late_Transactions!C:C,Late_Transactions!E:E,A207,Late_Transactions!K:K,"Recorded"),"")</x:f>
        <x:v>0</x:v>
      </x:c>
      <x:c r="G207" s="17" t="str">
        <x:f>IF(E207="","",IF(E207&gt;=5,"High",IF(E207&gt;=3,"Watch","OK")))</x:f>
      </x:c>
    </x:row>
    <x:row r="208">
      <x:c r="A208" s="17" t="str">
        <x:f>IF(Students!A208="","",Students!A208)</x:f>
      </x:c>
      <x:c r="B208" s="17" t="str">
        <x:f>IF(A208="","",Students!F208)</x:f>
      </x:c>
      <x:c r="C208" s="17" t="str">
        <x:f>IF(A208="","",Students!G208)</x:f>
      </x:c>
      <x:c r="D208" s="17" t="str">
        <x:f>IF(A208="","",Students!H208)</x:f>
      </x:c>
      <x:c r="E208" s="22" t="str">
        <x:f>IF(A208="","",COUNTIFS(Late_Transactions!E:E,A208,Late_Transactions!K:K,"Recorded"))</x:f>
      </x:c>
      <x:c r="F208" s="21" t="n">
        <x:f>IFERROR(MAXIFS(Late_Transactions!C:C,Late_Transactions!E:E,A208,Late_Transactions!K:K,"Recorded"),"")</x:f>
        <x:v>0</x:v>
      </x:c>
      <x:c r="G208" s="17" t="str">
        <x:f>IF(E208="","",IF(E208&gt;=5,"High",IF(E208&gt;=3,"Watch","OK")))</x:f>
      </x:c>
    </x:row>
    <x:row r="209">
      <x:c r="A209" s="17" t="str">
        <x:f>IF(Students!A209="","",Students!A209)</x:f>
      </x:c>
      <x:c r="B209" s="17" t="str">
        <x:f>IF(A209="","",Students!F209)</x:f>
      </x:c>
      <x:c r="C209" s="17" t="str">
        <x:f>IF(A209="","",Students!G209)</x:f>
      </x:c>
      <x:c r="D209" s="17" t="str">
        <x:f>IF(A209="","",Students!H209)</x:f>
      </x:c>
      <x:c r="E209" s="22" t="str">
        <x:f>IF(A209="","",COUNTIFS(Late_Transactions!E:E,A209,Late_Transactions!K:K,"Recorded"))</x:f>
      </x:c>
      <x:c r="F209" s="21" t="n">
        <x:f>IFERROR(MAXIFS(Late_Transactions!C:C,Late_Transactions!E:E,A209,Late_Transactions!K:K,"Recorded"),"")</x:f>
        <x:v>0</x:v>
      </x:c>
      <x:c r="G209" s="17" t="str">
        <x:f>IF(E209="","",IF(E209&gt;=5,"High",IF(E209&gt;=3,"Watch","OK")))</x:f>
      </x:c>
    </x:row>
    <x:row r="210">
      <x:c r="A210" s="17" t="str">
        <x:f>IF(Students!A210="","",Students!A210)</x:f>
      </x:c>
      <x:c r="B210" s="17" t="str">
        <x:f>IF(A210="","",Students!F210)</x:f>
      </x:c>
      <x:c r="C210" s="17" t="str">
        <x:f>IF(A210="","",Students!G210)</x:f>
      </x:c>
      <x:c r="D210" s="17" t="str">
        <x:f>IF(A210="","",Students!H210)</x:f>
      </x:c>
      <x:c r="E210" s="22" t="str">
        <x:f>IF(A210="","",COUNTIFS(Late_Transactions!E:E,A210,Late_Transactions!K:K,"Recorded"))</x:f>
      </x:c>
      <x:c r="F210" s="21" t="n">
        <x:f>IFERROR(MAXIFS(Late_Transactions!C:C,Late_Transactions!E:E,A210,Late_Transactions!K:K,"Recorded"),"")</x:f>
        <x:v>0</x:v>
      </x:c>
      <x:c r="G210" s="17" t="str">
        <x:f>IF(E210="","",IF(E210&gt;=5,"High",IF(E210&gt;=3,"Watch","OK")))</x:f>
      </x:c>
    </x:row>
    <x:row r="211">
      <x:c r="A211" s="17" t="str">
        <x:f>IF(Students!A211="","",Students!A211)</x:f>
      </x:c>
      <x:c r="B211" s="17" t="str">
        <x:f>IF(A211="","",Students!F211)</x:f>
      </x:c>
      <x:c r="C211" s="17" t="str">
        <x:f>IF(A211="","",Students!G211)</x:f>
      </x:c>
      <x:c r="D211" s="17" t="str">
        <x:f>IF(A211="","",Students!H211)</x:f>
      </x:c>
      <x:c r="E211" s="22" t="str">
        <x:f>IF(A211="","",COUNTIFS(Late_Transactions!E:E,A211,Late_Transactions!K:K,"Recorded"))</x:f>
      </x:c>
      <x:c r="F211" s="21" t="n">
        <x:f>IFERROR(MAXIFS(Late_Transactions!C:C,Late_Transactions!E:E,A211,Late_Transactions!K:K,"Recorded"),"")</x:f>
        <x:v>0</x:v>
      </x:c>
      <x:c r="G211" s="17" t="str">
        <x:f>IF(E211="","",IF(E211&gt;=5,"High",IF(E211&gt;=3,"Watch","OK")))</x:f>
      </x:c>
    </x:row>
    <x:row r="212">
      <x:c r="A212" s="17" t="str">
        <x:f>IF(Students!A212="","",Students!A212)</x:f>
      </x:c>
      <x:c r="B212" s="17" t="str">
        <x:f>IF(A212="","",Students!F212)</x:f>
      </x:c>
      <x:c r="C212" s="17" t="str">
        <x:f>IF(A212="","",Students!G212)</x:f>
      </x:c>
      <x:c r="D212" s="17" t="str">
        <x:f>IF(A212="","",Students!H212)</x:f>
      </x:c>
      <x:c r="E212" s="22" t="str">
        <x:f>IF(A212="","",COUNTIFS(Late_Transactions!E:E,A212,Late_Transactions!K:K,"Recorded"))</x:f>
      </x:c>
      <x:c r="F212" s="21" t="n">
        <x:f>IFERROR(MAXIFS(Late_Transactions!C:C,Late_Transactions!E:E,A212,Late_Transactions!K:K,"Recorded"),"")</x:f>
        <x:v>0</x:v>
      </x:c>
      <x:c r="G212" s="17" t="str">
        <x:f>IF(E212="","",IF(E212&gt;=5,"High",IF(E212&gt;=3,"Watch","OK")))</x:f>
      </x:c>
    </x:row>
    <x:row r="213">
      <x:c r="A213" s="17" t="str">
        <x:f>IF(Students!A213="","",Students!A213)</x:f>
      </x:c>
      <x:c r="B213" s="17" t="str">
        <x:f>IF(A213="","",Students!F213)</x:f>
      </x:c>
      <x:c r="C213" s="17" t="str">
        <x:f>IF(A213="","",Students!G213)</x:f>
      </x:c>
      <x:c r="D213" s="17" t="str">
        <x:f>IF(A213="","",Students!H213)</x:f>
      </x:c>
      <x:c r="E213" s="22" t="str">
        <x:f>IF(A213="","",COUNTIFS(Late_Transactions!E:E,A213,Late_Transactions!K:K,"Recorded"))</x:f>
      </x:c>
      <x:c r="F213" s="21" t="n">
        <x:f>IFERROR(MAXIFS(Late_Transactions!C:C,Late_Transactions!E:E,A213,Late_Transactions!K:K,"Recorded"),"")</x:f>
        <x:v>0</x:v>
      </x:c>
      <x:c r="G213" s="17" t="str">
        <x:f>IF(E213="","",IF(E213&gt;=5,"High",IF(E213&gt;=3,"Watch","OK")))</x:f>
      </x:c>
    </x:row>
    <x:row r="214">
      <x:c r="A214" s="17" t="str">
        <x:f>IF(Students!A214="","",Students!A214)</x:f>
      </x:c>
      <x:c r="B214" s="17" t="str">
        <x:f>IF(A214="","",Students!F214)</x:f>
      </x:c>
      <x:c r="C214" s="17" t="str">
        <x:f>IF(A214="","",Students!G214)</x:f>
      </x:c>
      <x:c r="D214" s="17" t="str">
        <x:f>IF(A214="","",Students!H214)</x:f>
      </x:c>
      <x:c r="E214" s="22" t="str">
        <x:f>IF(A214="","",COUNTIFS(Late_Transactions!E:E,A214,Late_Transactions!K:K,"Recorded"))</x:f>
      </x:c>
      <x:c r="F214" s="21" t="n">
        <x:f>IFERROR(MAXIFS(Late_Transactions!C:C,Late_Transactions!E:E,A214,Late_Transactions!K:K,"Recorded"),"")</x:f>
        <x:v>0</x:v>
      </x:c>
      <x:c r="G214" s="17" t="str">
        <x:f>IF(E214="","",IF(E214&gt;=5,"High",IF(E214&gt;=3,"Watch","OK")))</x:f>
      </x:c>
    </x:row>
    <x:row r="215">
      <x:c r="A215" s="17" t="str">
        <x:f>IF(Students!A215="","",Students!A215)</x:f>
      </x:c>
      <x:c r="B215" s="17" t="str">
        <x:f>IF(A215="","",Students!F215)</x:f>
      </x:c>
      <x:c r="C215" s="17" t="str">
        <x:f>IF(A215="","",Students!G215)</x:f>
      </x:c>
      <x:c r="D215" s="17" t="str">
        <x:f>IF(A215="","",Students!H215)</x:f>
      </x:c>
      <x:c r="E215" s="22" t="str">
        <x:f>IF(A215="","",COUNTIFS(Late_Transactions!E:E,A215,Late_Transactions!K:K,"Recorded"))</x:f>
      </x:c>
      <x:c r="F215" s="21" t="n">
        <x:f>IFERROR(MAXIFS(Late_Transactions!C:C,Late_Transactions!E:E,A215,Late_Transactions!K:K,"Recorded"),"")</x:f>
        <x:v>0</x:v>
      </x:c>
      <x:c r="G215" s="17" t="str">
        <x:f>IF(E215="","",IF(E215&gt;=5,"High",IF(E215&gt;=3,"Watch","OK")))</x:f>
      </x:c>
    </x:row>
    <x:row r="216">
      <x:c r="A216" s="17" t="str">
        <x:f>IF(Students!A216="","",Students!A216)</x:f>
      </x:c>
      <x:c r="B216" s="17" t="str">
        <x:f>IF(A216="","",Students!F216)</x:f>
      </x:c>
      <x:c r="C216" s="17" t="str">
        <x:f>IF(A216="","",Students!G216)</x:f>
      </x:c>
      <x:c r="D216" s="17" t="str">
        <x:f>IF(A216="","",Students!H216)</x:f>
      </x:c>
      <x:c r="E216" s="22" t="str">
        <x:f>IF(A216="","",COUNTIFS(Late_Transactions!E:E,A216,Late_Transactions!K:K,"Recorded"))</x:f>
      </x:c>
      <x:c r="F216" s="21" t="n">
        <x:f>IFERROR(MAXIFS(Late_Transactions!C:C,Late_Transactions!E:E,A216,Late_Transactions!K:K,"Recorded"),"")</x:f>
        <x:v>0</x:v>
      </x:c>
      <x:c r="G216" s="17" t="str">
        <x:f>IF(E216="","",IF(E216&gt;=5,"High",IF(E216&gt;=3,"Watch","OK")))</x:f>
      </x:c>
    </x:row>
    <x:row r="217">
      <x:c r="A217" s="17" t="str">
        <x:f>IF(Students!A217="","",Students!A217)</x:f>
      </x:c>
      <x:c r="B217" s="17" t="str">
        <x:f>IF(A217="","",Students!F217)</x:f>
      </x:c>
      <x:c r="C217" s="17" t="str">
        <x:f>IF(A217="","",Students!G217)</x:f>
      </x:c>
      <x:c r="D217" s="17" t="str">
        <x:f>IF(A217="","",Students!H217)</x:f>
      </x:c>
      <x:c r="E217" s="22" t="str">
        <x:f>IF(A217="","",COUNTIFS(Late_Transactions!E:E,A217,Late_Transactions!K:K,"Recorded"))</x:f>
      </x:c>
      <x:c r="F217" s="21" t="n">
        <x:f>IFERROR(MAXIFS(Late_Transactions!C:C,Late_Transactions!E:E,A217,Late_Transactions!K:K,"Recorded"),"")</x:f>
        <x:v>0</x:v>
      </x:c>
      <x:c r="G217" s="17" t="str">
        <x:f>IF(E217="","",IF(E217&gt;=5,"High",IF(E217&gt;=3,"Watch","OK")))</x:f>
      </x:c>
    </x:row>
    <x:row r="218">
      <x:c r="A218" s="17" t="str">
        <x:f>IF(Students!A218="","",Students!A218)</x:f>
      </x:c>
      <x:c r="B218" s="17" t="str">
        <x:f>IF(A218="","",Students!F218)</x:f>
      </x:c>
      <x:c r="C218" s="17" t="str">
        <x:f>IF(A218="","",Students!G218)</x:f>
      </x:c>
      <x:c r="D218" s="17" t="str">
        <x:f>IF(A218="","",Students!H218)</x:f>
      </x:c>
      <x:c r="E218" s="22" t="str">
        <x:f>IF(A218="","",COUNTIFS(Late_Transactions!E:E,A218,Late_Transactions!K:K,"Recorded"))</x:f>
      </x:c>
      <x:c r="F218" s="21" t="n">
        <x:f>IFERROR(MAXIFS(Late_Transactions!C:C,Late_Transactions!E:E,A218,Late_Transactions!K:K,"Recorded"),"")</x:f>
        <x:v>0</x:v>
      </x:c>
      <x:c r="G218" s="17" t="str">
        <x:f>IF(E218="","",IF(E218&gt;=5,"High",IF(E218&gt;=3,"Watch","OK")))</x:f>
      </x:c>
    </x:row>
    <x:row r="219">
      <x:c r="A219" s="17" t="str">
        <x:f>IF(Students!A219="","",Students!A219)</x:f>
      </x:c>
      <x:c r="B219" s="17" t="str">
        <x:f>IF(A219="","",Students!F219)</x:f>
      </x:c>
      <x:c r="C219" s="17" t="str">
        <x:f>IF(A219="","",Students!G219)</x:f>
      </x:c>
      <x:c r="D219" s="17" t="str">
        <x:f>IF(A219="","",Students!H219)</x:f>
      </x:c>
      <x:c r="E219" s="22" t="str">
        <x:f>IF(A219="","",COUNTIFS(Late_Transactions!E:E,A219,Late_Transactions!K:K,"Recorded"))</x:f>
      </x:c>
      <x:c r="F219" s="21" t="n">
        <x:f>IFERROR(MAXIFS(Late_Transactions!C:C,Late_Transactions!E:E,A219,Late_Transactions!K:K,"Recorded"),"")</x:f>
        <x:v>0</x:v>
      </x:c>
      <x:c r="G219" s="17" t="str">
        <x:f>IF(E219="","",IF(E219&gt;=5,"High",IF(E219&gt;=3,"Watch","OK")))</x:f>
      </x:c>
    </x:row>
    <x:row r="220">
      <x:c r="A220" s="17" t="str">
        <x:f>IF(Students!A220="","",Students!A220)</x:f>
      </x:c>
      <x:c r="B220" s="17" t="str">
        <x:f>IF(A220="","",Students!F220)</x:f>
      </x:c>
      <x:c r="C220" s="17" t="str">
        <x:f>IF(A220="","",Students!G220)</x:f>
      </x:c>
      <x:c r="D220" s="17" t="str">
        <x:f>IF(A220="","",Students!H220)</x:f>
      </x:c>
      <x:c r="E220" s="22" t="str">
        <x:f>IF(A220="","",COUNTIFS(Late_Transactions!E:E,A220,Late_Transactions!K:K,"Recorded"))</x:f>
      </x:c>
      <x:c r="F220" s="21" t="n">
        <x:f>IFERROR(MAXIFS(Late_Transactions!C:C,Late_Transactions!E:E,A220,Late_Transactions!K:K,"Recorded"),"")</x:f>
        <x:v>0</x:v>
      </x:c>
      <x:c r="G220" s="17" t="str">
        <x:f>IF(E220="","",IF(E220&gt;=5,"High",IF(E220&gt;=3,"Watch","OK")))</x:f>
      </x:c>
    </x:row>
    <x:row r="221">
      <x:c r="A221" s="17" t="str">
        <x:f>IF(Students!A221="","",Students!A221)</x:f>
      </x:c>
      <x:c r="B221" s="17" t="str">
        <x:f>IF(A221="","",Students!F221)</x:f>
      </x:c>
      <x:c r="C221" s="17" t="str">
        <x:f>IF(A221="","",Students!G221)</x:f>
      </x:c>
      <x:c r="D221" s="17" t="str">
        <x:f>IF(A221="","",Students!H221)</x:f>
      </x:c>
      <x:c r="E221" s="22" t="str">
        <x:f>IF(A221="","",COUNTIFS(Late_Transactions!E:E,A221,Late_Transactions!K:K,"Recorded"))</x:f>
      </x:c>
      <x:c r="F221" s="21" t="n">
        <x:f>IFERROR(MAXIFS(Late_Transactions!C:C,Late_Transactions!E:E,A221,Late_Transactions!K:K,"Recorded"),"")</x:f>
        <x:v>0</x:v>
      </x:c>
      <x:c r="G221" s="17" t="str">
        <x:f>IF(E221="","",IF(E221&gt;=5,"High",IF(E221&gt;=3,"Watch","OK")))</x:f>
      </x:c>
    </x:row>
    <x:row r="222">
      <x:c r="A222" s="17" t="str">
        <x:f>IF(Students!A222="","",Students!A222)</x:f>
      </x:c>
      <x:c r="B222" s="17" t="str">
        <x:f>IF(A222="","",Students!F222)</x:f>
      </x:c>
      <x:c r="C222" s="17" t="str">
        <x:f>IF(A222="","",Students!G222)</x:f>
      </x:c>
      <x:c r="D222" s="17" t="str">
        <x:f>IF(A222="","",Students!H222)</x:f>
      </x:c>
      <x:c r="E222" s="22" t="str">
        <x:f>IF(A222="","",COUNTIFS(Late_Transactions!E:E,A222,Late_Transactions!K:K,"Recorded"))</x:f>
      </x:c>
      <x:c r="F222" s="21" t="n">
        <x:f>IFERROR(MAXIFS(Late_Transactions!C:C,Late_Transactions!E:E,A222,Late_Transactions!K:K,"Recorded"),"")</x:f>
        <x:v>0</x:v>
      </x:c>
      <x:c r="G222" s="17" t="str">
        <x:f>IF(E222="","",IF(E222&gt;=5,"High",IF(E222&gt;=3,"Watch","OK")))</x:f>
      </x:c>
    </x:row>
    <x:row r="223">
      <x:c r="A223" s="17" t="str">
        <x:f>IF(Students!A223="","",Students!A223)</x:f>
      </x:c>
      <x:c r="B223" s="17" t="str">
        <x:f>IF(A223="","",Students!F223)</x:f>
      </x:c>
      <x:c r="C223" s="17" t="str">
        <x:f>IF(A223="","",Students!G223)</x:f>
      </x:c>
      <x:c r="D223" s="17" t="str">
        <x:f>IF(A223="","",Students!H223)</x:f>
      </x:c>
      <x:c r="E223" s="22" t="str">
        <x:f>IF(A223="","",COUNTIFS(Late_Transactions!E:E,A223,Late_Transactions!K:K,"Recorded"))</x:f>
      </x:c>
      <x:c r="F223" s="21" t="n">
        <x:f>IFERROR(MAXIFS(Late_Transactions!C:C,Late_Transactions!E:E,A223,Late_Transactions!K:K,"Recorded"),"")</x:f>
        <x:v>0</x:v>
      </x:c>
      <x:c r="G223" s="17" t="str">
        <x:f>IF(E223="","",IF(E223&gt;=5,"High",IF(E223&gt;=3,"Watch","OK")))</x:f>
      </x:c>
    </x:row>
    <x:row r="224">
      <x:c r="A224" s="17" t="str">
        <x:f>IF(Students!A224="","",Students!A224)</x:f>
      </x:c>
      <x:c r="B224" s="17" t="str">
        <x:f>IF(A224="","",Students!F224)</x:f>
      </x:c>
      <x:c r="C224" s="17" t="str">
        <x:f>IF(A224="","",Students!G224)</x:f>
      </x:c>
      <x:c r="D224" s="17" t="str">
        <x:f>IF(A224="","",Students!H224)</x:f>
      </x:c>
      <x:c r="E224" s="22" t="str">
        <x:f>IF(A224="","",COUNTIFS(Late_Transactions!E:E,A224,Late_Transactions!K:K,"Recorded"))</x:f>
      </x:c>
      <x:c r="F224" s="21" t="n">
        <x:f>IFERROR(MAXIFS(Late_Transactions!C:C,Late_Transactions!E:E,A224,Late_Transactions!K:K,"Recorded"),"")</x:f>
        <x:v>0</x:v>
      </x:c>
      <x:c r="G224" s="17" t="str">
        <x:f>IF(E224="","",IF(E224&gt;=5,"High",IF(E224&gt;=3,"Watch","OK")))</x:f>
      </x:c>
    </x:row>
    <x:row r="225">
      <x:c r="A225" s="17" t="str">
        <x:f>IF(Students!A225="","",Students!A225)</x:f>
      </x:c>
      <x:c r="B225" s="17" t="str">
        <x:f>IF(A225="","",Students!F225)</x:f>
      </x:c>
      <x:c r="C225" s="17" t="str">
        <x:f>IF(A225="","",Students!G225)</x:f>
      </x:c>
      <x:c r="D225" s="17" t="str">
        <x:f>IF(A225="","",Students!H225)</x:f>
      </x:c>
      <x:c r="E225" s="22" t="str">
        <x:f>IF(A225="","",COUNTIFS(Late_Transactions!E:E,A225,Late_Transactions!K:K,"Recorded"))</x:f>
      </x:c>
      <x:c r="F225" s="21" t="n">
        <x:f>IFERROR(MAXIFS(Late_Transactions!C:C,Late_Transactions!E:E,A225,Late_Transactions!K:K,"Recorded"),"")</x:f>
        <x:v>0</x:v>
      </x:c>
      <x:c r="G225" s="17" t="str">
        <x:f>IF(E225="","",IF(E225&gt;=5,"High",IF(E225&gt;=3,"Watch","OK")))</x:f>
      </x:c>
    </x:row>
    <x:row r="226">
      <x:c r="A226" s="17" t="str">
        <x:f>IF(Students!A226="","",Students!A226)</x:f>
      </x:c>
      <x:c r="B226" s="17" t="str">
        <x:f>IF(A226="","",Students!F226)</x:f>
      </x:c>
      <x:c r="C226" s="17" t="str">
        <x:f>IF(A226="","",Students!G226)</x:f>
      </x:c>
      <x:c r="D226" s="17" t="str">
        <x:f>IF(A226="","",Students!H226)</x:f>
      </x:c>
      <x:c r="E226" s="22" t="str">
        <x:f>IF(A226="","",COUNTIFS(Late_Transactions!E:E,A226,Late_Transactions!K:K,"Recorded"))</x:f>
      </x:c>
      <x:c r="F226" s="21" t="n">
        <x:f>IFERROR(MAXIFS(Late_Transactions!C:C,Late_Transactions!E:E,A226,Late_Transactions!K:K,"Recorded"),"")</x:f>
        <x:v>0</x:v>
      </x:c>
      <x:c r="G226" s="17" t="str">
        <x:f>IF(E226="","",IF(E226&gt;=5,"High",IF(E226&gt;=3,"Watch","OK")))</x:f>
      </x:c>
    </x:row>
    <x:row r="227">
      <x:c r="A227" s="17" t="str">
        <x:f>IF(Students!A227="","",Students!A227)</x:f>
      </x:c>
      <x:c r="B227" s="17" t="str">
        <x:f>IF(A227="","",Students!F227)</x:f>
      </x:c>
      <x:c r="C227" s="17" t="str">
        <x:f>IF(A227="","",Students!G227)</x:f>
      </x:c>
      <x:c r="D227" s="17" t="str">
        <x:f>IF(A227="","",Students!H227)</x:f>
      </x:c>
      <x:c r="E227" s="22" t="str">
        <x:f>IF(A227="","",COUNTIFS(Late_Transactions!E:E,A227,Late_Transactions!K:K,"Recorded"))</x:f>
      </x:c>
      <x:c r="F227" s="21" t="n">
        <x:f>IFERROR(MAXIFS(Late_Transactions!C:C,Late_Transactions!E:E,A227,Late_Transactions!K:K,"Recorded"),"")</x:f>
        <x:v>0</x:v>
      </x:c>
      <x:c r="G227" s="17" t="str">
        <x:f>IF(E227="","",IF(E227&gt;=5,"High",IF(E227&gt;=3,"Watch","OK")))</x:f>
      </x:c>
    </x:row>
    <x:row r="228">
      <x:c r="A228" s="17" t="str">
        <x:f>IF(Students!A228="","",Students!A228)</x:f>
      </x:c>
      <x:c r="B228" s="17" t="str">
        <x:f>IF(A228="","",Students!F228)</x:f>
      </x:c>
      <x:c r="C228" s="17" t="str">
        <x:f>IF(A228="","",Students!G228)</x:f>
      </x:c>
      <x:c r="D228" s="17" t="str">
        <x:f>IF(A228="","",Students!H228)</x:f>
      </x:c>
      <x:c r="E228" s="22" t="str">
        <x:f>IF(A228="","",COUNTIFS(Late_Transactions!E:E,A228,Late_Transactions!K:K,"Recorded"))</x:f>
      </x:c>
      <x:c r="F228" s="21" t="n">
        <x:f>IFERROR(MAXIFS(Late_Transactions!C:C,Late_Transactions!E:E,A228,Late_Transactions!K:K,"Recorded"),"")</x:f>
        <x:v>0</x:v>
      </x:c>
      <x:c r="G228" s="17" t="str">
        <x:f>IF(E228="","",IF(E228&gt;=5,"High",IF(E228&gt;=3,"Watch","OK")))</x:f>
      </x:c>
    </x:row>
    <x:row r="229">
      <x:c r="A229" s="17" t="str">
        <x:f>IF(Students!A229="","",Students!A229)</x:f>
      </x:c>
      <x:c r="B229" s="17" t="str">
        <x:f>IF(A229="","",Students!F229)</x:f>
      </x:c>
      <x:c r="C229" s="17" t="str">
        <x:f>IF(A229="","",Students!G229)</x:f>
      </x:c>
      <x:c r="D229" s="17" t="str">
        <x:f>IF(A229="","",Students!H229)</x:f>
      </x:c>
      <x:c r="E229" s="22" t="str">
        <x:f>IF(A229="","",COUNTIFS(Late_Transactions!E:E,A229,Late_Transactions!K:K,"Recorded"))</x:f>
      </x:c>
      <x:c r="F229" s="21" t="n">
        <x:f>IFERROR(MAXIFS(Late_Transactions!C:C,Late_Transactions!E:E,A229,Late_Transactions!K:K,"Recorded"),"")</x:f>
        <x:v>0</x:v>
      </x:c>
      <x:c r="G229" s="17" t="str">
        <x:f>IF(E229="","",IF(E229&gt;=5,"High",IF(E229&gt;=3,"Watch","OK")))</x:f>
      </x:c>
    </x:row>
    <x:row r="230">
      <x:c r="A230" s="17" t="str">
        <x:f>IF(Students!A230="","",Students!A230)</x:f>
      </x:c>
      <x:c r="B230" s="17" t="str">
        <x:f>IF(A230="","",Students!F230)</x:f>
      </x:c>
      <x:c r="C230" s="17" t="str">
        <x:f>IF(A230="","",Students!G230)</x:f>
      </x:c>
      <x:c r="D230" s="17" t="str">
        <x:f>IF(A230="","",Students!H230)</x:f>
      </x:c>
      <x:c r="E230" s="22" t="str">
        <x:f>IF(A230="","",COUNTIFS(Late_Transactions!E:E,A230,Late_Transactions!K:K,"Recorded"))</x:f>
      </x:c>
      <x:c r="F230" s="21" t="n">
        <x:f>IFERROR(MAXIFS(Late_Transactions!C:C,Late_Transactions!E:E,A230,Late_Transactions!K:K,"Recorded"),"")</x:f>
        <x:v>0</x:v>
      </x:c>
      <x:c r="G230" s="17" t="str">
        <x:f>IF(E230="","",IF(E230&gt;=5,"High",IF(E230&gt;=3,"Watch","OK")))</x:f>
      </x:c>
    </x:row>
    <x:row r="231">
      <x:c r="A231" s="17" t="str">
        <x:f>IF(Students!A231="","",Students!A231)</x:f>
      </x:c>
      <x:c r="B231" s="17" t="str">
        <x:f>IF(A231="","",Students!F231)</x:f>
      </x:c>
      <x:c r="C231" s="17" t="str">
        <x:f>IF(A231="","",Students!G231)</x:f>
      </x:c>
      <x:c r="D231" s="17" t="str">
        <x:f>IF(A231="","",Students!H231)</x:f>
      </x:c>
      <x:c r="E231" s="22" t="str">
        <x:f>IF(A231="","",COUNTIFS(Late_Transactions!E:E,A231,Late_Transactions!K:K,"Recorded"))</x:f>
      </x:c>
      <x:c r="F231" s="21" t="n">
        <x:f>IFERROR(MAXIFS(Late_Transactions!C:C,Late_Transactions!E:E,A231,Late_Transactions!K:K,"Recorded"),"")</x:f>
        <x:v>0</x:v>
      </x:c>
      <x:c r="G231" s="17" t="str">
        <x:f>IF(E231="","",IF(E231&gt;=5,"High",IF(E231&gt;=3,"Watch","OK")))</x:f>
      </x:c>
    </x:row>
    <x:row r="232">
      <x:c r="A232" s="17" t="str">
        <x:f>IF(Students!A232="","",Students!A232)</x:f>
      </x:c>
      <x:c r="B232" s="17" t="str">
        <x:f>IF(A232="","",Students!F232)</x:f>
      </x:c>
      <x:c r="C232" s="17" t="str">
        <x:f>IF(A232="","",Students!G232)</x:f>
      </x:c>
      <x:c r="D232" s="17" t="str">
        <x:f>IF(A232="","",Students!H232)</x:f>
      </x:c>
      <x:c r="E232" s="22" t="str">
        <x:f>IF(A232="","",COUNTIFS(Late_Transactions!E:E,A232,Late_Transactions!K:K,"Recorded"))</x:f>
      </x:c>
      <x:c r="F232" s="21" t="n">
        <x:f>IFERROR(MAXIFS(Late_Transactions!C:C,Late_Transactions!E:E,A232,Late_Transactions!K:K,"Recorded"),"")</x:f>
        <x:v>0</x:v>
      </x:c>
      <x:c r="G232" s="17" t="str">
        <x:f>IF(E232="","",IF(E232&gt;=5,"High",IF(E232&gt;=3,"Watch","OK")))</x:f>
      </x:c>
    </x:row>
    <x:row r="233">
      <x:c r="A233" s="17" t="str">
        <x:f>IF(Students!A233="","",Students!A233)</x:f>
      </x:c>
      <x:c r="B233" s="17" t="str">
        <x:f>IF(A233="","",Students!F233)</x:f>
      </x:c>
      <x:c r="C233" s="17" t="str">
        <x:f>IF(A233="","",Students!G233)</x:f>
      </x:c>
      <x:c r="D233" s="17" t="str">
        <x:f>IF(A233="","",Students!H233)</x:f>
      </x:c>
      <x:c r="E233" s="22" t="str">
        <x:f>IF(A233="","",COUNTIFS(Late_Transactions!E:E,A233,Late_Transactions!K:K,"Recorded"))</x:f>
      </x:c>
      <x:c r="F233" s="21" t="n">
        <x:f>IFERROR(MAXIFS(Late_Transactions!C:C,Late_Transactions!E:E,A233,Late_Transactions!K:K,"Recorded"),"")</x:f>
        <x:v>0</x:v>
      </x:c>
      <x:c r="G233" s="17" t="str">
        <x:f>IF(E233="","",IF(E233&gt;=5,"High",IF(E233&gt;=3,"Watch","OK")))</x:f>
      </x:c>
    </x:row>
    <x:row r="234">
      <x:c r="A234" s="17" t="str">
        <x:f>IF(Students!A234="","",Students!A234)</x:f>
      </x:c>
      <x:c r="B234" s="17" t="str">
        <x:f>IF(A234="","",Students!F234)</x:f>
      </x:c>
      <x:c r="C234" s="17" t="str">
        <x:f>IF(A234="","",Students!G234)</x:f>
      </x:c>
      <x:c r="D234" s="17" t="str">
        <x:f>IF(A234="","",Students!H234)</x:f>
      </x:c>
      <x:c r="E234" s="22" t="str">
        <x:f>IF(A234="","",COUNTIFS(Late_Transactions!E:E,A234,Late_Transactions!K:K,"Recorded"))</x:f>
      </x:c>
      <x:c r="F234" s="21" t="n">
        <x:f>IFERROR(MAXIFS(Late_Transactions!C:C,Late_Transactions!E:E,A234,Late_Transactions!K:K,"Recorded"),"")</x:f>
        <x:v>0</x:v>
      </x:c>
      <x:c r="G234" s="17" t="str">
        <x:f>IF(E234="","",IF(E234&gt;=5,"High",IF(E234&gt;=3,"Watch","OK")))</x:f>
      </x:c>
    </x:row>
    <x:row r="235">
      <x:c r="A235" s="17" t="str">
        <x:f>IF(Students!A235="","",Students!A235)</x:f>
      </x:c>
      <x:c r="B235" s="17" t="str">
        <x:f>IF(A235="","",Students!F235)</x:f>
      </x:c>
      <x:c r="C235" s="17" t="str">
        <x:f>IF(A235="","",Students!G235)</x:f>
      </x:c>
      <x:c r="D235" s="17" t="str">
        <x:f>IF(A235="","",Students!H235)</x:f>
      </x:c>
      <x:c r="E235" s="22" t="str">
        <x:f>IF(A235="","",COUNTIFS(Late_Transactions!E:E,A235,Late_Transactions!K:K,"Recorded"))</x:f>
      </x:c>
      <x:c r="F235" s="21" t="n">
        <x:f>IFERROR(MAXIFS(Late_Transactions!C:C,Late_Transactions!E:E,A235,Late_Transactions!K:K,"Recorded"),"")</x:f>
        <x:v>0</x:v>
      </x:c>
      <x:c r="G235" s="17" t="str">
        <x:f>IF(E235="","",IF(E235&gt;=5,"High",IF(E235&gt;=3,"Watch","OK")))</x:f>
      </x:c>
    </x:row>
    <x:row r="236">
      <x:c r="A236" s="17" t="str">
        <x:f>IF(Students!A236="","",Students!A236)</x:f>
      </x:c>
      <x:c r="B236" s="17" t="str">
        <x:f>IF(A236="","",Students!F236)</x:f>
      </x:c>
      <x:c r="C236" s="17" t="str">
        <x:f>IF(A236="","",Students!G236)</x:f>
      </x:c>
      <x:c r="D236" s="17" t="str">
        <x:f>IF(A236="","",Students!H236)</x:f>
      </x:c>
      <x:c r="E236" s="22" t="str">
        <x:f>IF(A236="","",COUNTIFS(Late_Transactions!E:E,A236,Late_Transactions!K:K,"Recorded"))</x:f>
      </x:c>
      <x:c r="F236" s="21" t="n">
        <x:f>IFERROR(MAXIFS(Late_Transactions!C:C,Late_Transactions!E:E,A236,Late_Transactions!K:K,"Recorded"),"")</x:f>
        <x:v>0</x:v>
      </x:c>
      <x:c r="G236" s="17" t="str">
        <x:f>IF(E236="","",IF(E236&gt;=5,"High",IF(E236&gt;=3,"Watch","OK")))</x:f>
      </x:c>
    </x:row>
    <x:row r="237">
      <x:c r="A237" s="17" t="str">
        <x:f>IF(Students!A237="","",Students!A237)</x:f>
      </x:c>
      <x:c r="B237" s="17" t="str">
        <x:f>IF(A237="","",Students!F237)</x:f>
      </x:c>
      <x:c r="C237" s="17" t="str">
        <x:f>IF(A237="","",Students!G237)</x:f>
      </x:c>
      <x:c r="D237" s="17" t="str">
        <x:f>IF(A237="","",Students!H237)</x:f>
      </x:c>
      <x:c r="E237" s="22" t="str">
        <x:f>IF(A237="","",COUNTIFS(Late_Transactions!E:E,A237,Late_Transactions!K:K,"Recorded"))</x:f>
      </x:c>
      <x:c r="F237" s="21" t="n">
        <x:f>IFERROR(MAXIFS(Late_Transactions!C:C,Late_Transactions!E:E,A237,Late_Transactions!K:K,"Recorded"),"")</x:f>
        <x:v>0</x:v>
      </x:c>
      <x:c r="G237" s="17" t="str">
        <x:f>IF(E237="","",IF(E237&gt;=5,"High",IF(E237&gt;=3,"Watch","OK")))</x:f>
      </x:c>
    </x:row>
    <x:row r="238">
      <x:c r="A238" s="17" t="str">
        <x:f>IF(Students!A238="","",Students!A238)</x:f>
      </x:c>
      <x:c r="B238" s="17" t="str">
        <x:f>IF(A238="","",Students!F238)</x:f>
      </x:c>
      <x:c r="C238" s="17" t="str">
        <x:f>IF(A238="","",Students!G238)</x:f>
      </x:c>
      <x:c r="D238" s="17" t="str">
        <x:f>IF(A238="","",Students!H238)</x:f>
      </x:c>
      <x:c r="E238" s="22" t="str">
        <x:f>IF(A238="","",COUNTIFS(Late_Transactions!E:E,A238,Late_Transactions!K:K,"Recorded"))</x:f>
      </x:c>
      <x:c r="F238" s="21" t="n">
        <x:f>IFERROR(MAXIFS(Late_Transactions!C:C,Late_Transactions!E:E,A238,Late_Transactions!K:K,"Recorded"),"")</x:f>
        <x:v>0</x:v>
      </x:c>
      <x:c r="G238" s="17" t="str">
        <x:f>IF(E238="","",IF(E238&gt;=5,"High",IF(E238&gt;=3,"Watch","OK")))</x:f>
      </x:c>
    </x:row>
    <x:row r="239">
      <x:c r="A239" s="17" t="str">
        <x:f>IF(Students!A239="","",Students!A239)</x:f>
      </x:c>
      <x:c r="B239" s="17" t="str">
        <x:f>IF(A239="","",Students!F239)</x:f>
      </x:c>
      <x:c r="C239" s="17" t="str">
        <x:f>IF(A239="","",Students!G239)</x:f>
      </x:c>
      <x:c r="D239" s="17" t="str">
        <x:f>IF(A239="","",Students!H239)</x:f>
      </x:c>
      <x:c r="E239" s="22" t="str">
        <x:f>IF(A239="","",COUNTIFS(Late_Transactions!E:E,A239,Late_Transactions!K:K,"Recorded"))</x:f>
      </x:c>
      <x:c r="F239" s="21" t="n">
        <x:f>IFERROR(MAXIFS(Late_Transactions!C:C,Late_Transactions!E:E,A239,Late_Transactions!K:K,"Recorded"),"")</x:f>
        <x:v>0</x:v>
      </x:c>
      <x:c r="G239" s="17" t="str">
        <x:f>IF(E239="","",IF(E239&gt;=5,"High",IF(E239&gt;=3,"Watch","OK")))</x:f>
      </x:c>
    </x:row>
    <x:row r="240">
      <x:c r="A240" s="17" t="str">
        <x:f>IF(Students!A240="","",Students!A240)</x:f>
      </x:c>
      <x:c r="B240" s="17" t="str">
        <x:f>IF(A240="","",Students!F240)</x:f>
      </x:c>
      <x:c r="C240" s="17" t="str">
        <x:f>IF(A240="","",Students!G240)</x:f>
      </x:c>
      <x:c r="D240" s="17" t="str">
        <x:f>IF(A240="","",Students!H240)</x:f>
      </x:c>
      <x:c r="E240" s="22" t="str">
        <x:f>IF(A240="","",COUNTIFS(Late_Transactions!E:E,A240,Late_Transactions!K:K,"Recorded"))</x:f>
      </x:c>
      <x:c r="F240" s="21" t="n">
        <x:f>IFERROR(MAXIFS(Late_Transactions!C:C,Late_Transactions!E:E,A240,Late_Transactions!K:K,"Recorded"),"")</x:f>
        <x:v>0</x:v>
      </x:c>
      <x:c r="G240" s="17" t="str">
        <x:f>IF(E240="","",IF(E240&gt;=5,"High",IF(E240&gt;=3,"Watch","OK")))</x:f>
      </x:c>
    </x:row>
    <x:row r="241">
      <x:c r="A241" s="17" t="str">
        <x:f>IF(Students!A241="","",Students!A241)</x:f>
      </x:c>
      <x:c r="B241" s="17" t="str">
        <x:f>IF(A241="","",Students!F241)</x:f>
      </x:c>
      <x:c r="C241" s="17" t="str">
        <x:f>IF(A241="","",Students!G241)</x:f>
      </x:c>
      <x:c r="D241" s="17" t="str">
        <x:f>IF(A241="","",Students!H241)</x:f>
      </x:c>
      <x:c r="E241" s="22" t="str">
        <x:f>IF(A241="","",COUNTIFS(Late_Transactions!E:E,A241,Late_Transactions!K:K,"Recorded"))</x:f>
      </x:c>
      <x:c r="F241" s="21" t="n">
        <x:f>IFERROR(MAXIFS(Late_Transactions!C:C,Late_Transactions!E:E,A241,Late_Transactions!K:K,"Recorded"),"")</x:f>
        <x:v>0</x:v>
      </x:c>
      <x:c r="G241" s="17" t="str">
        <x:f>IF(E241="","",IF(E241&gt;=5,"High",IF(E241&gt;=3,"Watch","OK")))</x:f>
      </x:c>
    </x:row>
    <x:row r="242">
      <x:c r="A242" s="17" t="str">
        <x:f>IF(Students!A242="","",Students!A242)</x:f>
      </x:c>
      <x:c r="B242" s="17" t="str">
        <x:f>IF(A242="","",Students!F242)</x:f>
      </x:c>
      <x:c r="C242" s="17" t="str">
        <x:f>IF(A242="","",Students!G242)</x:f>
      </x:c>
      <x:c r="D242" s="17" t="str">
        <x:f>IF(A242="","",Students!H242)</x:f>
      </x:c>
      <x:c r="E242" s="22" t="str">
        <x:f>IF(A242="","",COUNTIFS(Late_Transactions!E:E,A242,Late_Transactions!K:K,"Recorded"))</x:f>
      </x:c>
      <x:c r="F242" s="21" t="n">
        <x:f>IFERROR(MAXIFS(Late_Transactions!C:C,Late_Transactions!E:E,A242,Late_Transactions!K:K,"Recorded"),"")</x:f>
        <x:v>0</x:v>
      </x:c>
      <x:c r="G242" s="17" t="str">
        <x:f>IF(E242="","",IF(E242&gt;=5,"High",IF(E242&gt;=3,"Watch","OK")))</x:f>
      </x:c>
    </x:row>
    <x:row r="243">
      <x:c r="A243" s="17" t="str">
        <x:f>IF(Students!A243="","",Students!A243)</x:f>
      </x:c>
      <x:c r="B243" s="17" t="str">
        <x:f>IF(A243="","",Students!F243)</x:f>
      </x:c>
      <x:c r="C243" s="17" t="str">
        <x:f>IF(A243="","",Students!G243)</x:f>
      </x:c>
      <x:c r="D243" s="17" t="str">
        <x:f>IF(A243="","",Students!H243)</x:f>
      </x:c>
      <x:c r="E243" s="22" t="str">
        <x:f>IF(A243="","",COUNTIFS(Late_Transactions!E:E,A243,Late_Transactions!K:K,"Recorded"))</x:f>
      </x:c>
      <x:c r="F243" s="21" t="n">
        <x:f>IFERROR(MAXIFS(Late_Transactions!C:C,Late_Transactions!E:E,A243,Late_Transactions!K:K,"Recorded"),"")</x:f>
        <x:v>0</x:v>
      </x:c>
      <x:c r="G243" s="17" t="str">
        <x:f>IF(E243="","",IF(E243&gt;=5,"High",IF(E243&gt;=3,"Watch","OK")))</x:f>
      </x:c>
    </x:row>
    <x:row r="244">
      <x:c r="A244" s="17" t="str">
        <x:f>IF(Students!A244="","",Students!A244)</x:f>
      </x:c>
      <x:c r="B244" s="17" t="str">
        <x:f>IF(A244="","",Students!F244)</x:f>
      </x:c>
      <x:c r="C244" s="17" t="str">
        <x:f>IF(A244="","",Students!G244)</x:f>
      </x:c>
      <x:c r="D244" s="17" t="str">
        <x:f>IF(A244="","",Students!H244)</x:f>
      </x:c>
      <x:c r="E244" s="22" t="str">
        <x:f>IF(A244="","",COUNTIFS(Late_Transactions!E:E,A244,Late_Transactions!K:K,"Recorded"))</x:f>
      </x:c>
      <x:c r="F244" s="21" t="n">
        <x:f>IFERROR(MAXIFS(Late_Transactions!C:C,Late_Transactions!E:E,A244,Late_Transactions!K:K,"Recorded"),"")</x:f>
        <x:v>0</x:v>
      </x:c>
      <x:c r="G244" s="17" t="str">
        <x:f>IF(E244="","",IF(E244&gt;=5,"High",IF(E244&gt;=3,"Watch","OK")))</x:f>
      </x:c>
    </x:row>
    <x:row r="245">
      <x:c r="A245" s="17" t="str">
        <x:f>IF(Students!A245="","",Students!A245)</x:f>
      </x:c>
      <x:c r="B245" s="17" t="str">
        <x:f>IF(A245="","",Students!F245)</x:f>
      </x:c>
      <x:c r="C245" s="17" t="str">
        <x:f>IF(A245="","",Students!G245)</x:f>
      </x:c>
      <x:c r="D245" s="17" t="str">
        <x:f>IF(A245="","",Students!H245)</x:f>
      </x:c>
      <x:c r="E245" s="22" t="str">
        <x:f>IF(A245="","",COUNTIFS(Late_Transactions!E:E,A245,Late_Transactions!K:K,"Recorded"))</x:f>
      </x:c>
      <x:c r="F245" s="21" t="n">
        <x:f>IFERROR(MAXIFS(Late_Transactions!C:C,Late_Transactions!E:E,A245,Late_Transactions!K:K,"Recorded"),"")</x:f>
        <x:v>0</x:v>
      </x:c>
      <x:c r="G245" s="17" t="str">
        <x:f>IF(E245="","",IF(E245&gt;=5,"High",IF(E245&gt;=3,"Watch","OK")))</x:f>
      </x:c>
    </x:row>
    <x:row r="246">
      <x:c r="A246" s="17" t="str">
        <x:f>IF(Students!A246="","",Students!A246)</x:f>
      </x:c>
      <x:c r="B246" s="17" t="str">
        <x:f>IF(A246="","",Students!F246)</x:f>
      </x:c>
      <x:c r="C246" s="17" t="str">
        <x:f>IF(A246="","",Students!G246)</x:f>
      </x:c>
      <x:c r="D246" s="17" t="str">
        <x:f>IF(A246="","",Students!H246)</x:f>
      </x:c>
      <x:c r="E246" s="22" t="str">
        <x:f>IF(A246="","",COUNTIFS(Late_Transactions!E:E,A246,Late_Transactions!K:K,"Recorded"))</x:f>
      </x:c>
      <x:c r="F246" s="21" t="n">
        <x:f>IFERROR(MAXIFS(Late_Transactions!C:C,Late_Transactions!E:E,A246,Late_Transactions!K:K,"Recorded"),"")</x:f>
        <x:v>0</x:v>
      </x:c>
      <x:c r="G246" s="17" t="str">
        <x:f>IF(E246="","",IF(E246&gt;=5,"High",IF(E246&gt;=3,"Watch","OK")))</x:f>
      </x:c>
    </x:row>
    <x:row r="247">
      <x:c r="A247" s="17" t="str">
        <x:f>IF(Students!A247="","",Students!A247)</x:f>
      </x:c>
      <x:c r="B247" s="17" t="str">
        <x:f>IF(A247="","",Students!F247)</x:f>
      </x:c>
      <x:c r="C247" s="17" t="str">
        <x:f>IF(A247="","",Students!G247)</x:f>
      </x:c>
      <x:c r="D247" s="17" t="str">
        <x:f>IF(A247="","",Students!H247)</x:f>
      </x:c>
      <x:c r="E247" s="22" t="str">
        <x:f>IF(A247="","",COUNTIFS(Late_Transactions!E:E,A247,Late_Transactions!K:K,"Recorded"))</x:f>
      </x:c>
      <x:c r="F247" s="21" t="n">
        <x:f>IFERROR(MAXIFS(Late_Transactions!C:C,Late_Transactions!E:E,A247,Late_Transactions!K:K,"Recorded"),"")</x:f>
        <x:v>0</x:v>
      </x:c>
      <x:c r="G247" s="17" t="str">
        <x:f>IF(E247="","",IF(E247&gt;=5,"High",IF(E247&gt;=3,"Watch","OK")))</x:f>
      </x:c>
    </x:row>
    <x:row r="248">
      <x:c r="A248" s="17" t="str">
        <x:f>IF(Students!A248="","",Students!A248)</x:f>
      </x:c>
      <x:c r="B248" s="17" t="str">
        <x:f>IF(A248="","",Students!F248)</x:f>
      </x:c>
      <x:c r="C248" s="17" t="str">
        <x:f>IF(A248="","",Students!G248)</x:f>
      </x:c>
      <x:c r="D248" s="17" t="str">
        <x:f>IF(A248="","",Students!H248)</x:f>
      </x:c>
      <x:c r="E248" s="22" t="str">
        <x:f>IF(A248="","",COUNTIFS(Late_Transactions!E:E,A248,Late_Transactions!K:K,"Recorded"))</x:f>
      </x:c>
      <x:c r="F248" s="21" t="n">
        <x:f>IFERROR(MAXIFS(Late_Transactions!C:C,Late_Transactions!E:E,A248,Late_Transactions!K:K,"Recorded"),"")</x:f>
        <x:v>0</x:v>
      </x:c>
      <x:c r="G248" s="17" t="str">
        <x:f>IF(E248="","",IF(E248&gt;=5,"High",IF(E248&gt;=3,"Watch","OK")))</x:f>
      </x:c>
    </x:row>
    <x:row r="249">
      <x:c r="A249" s="17" t="str">
        <x:f>IF(Students!A249="","",Students!A249)</x:f>
      </x:c>
      <x:c r="B249" s="17" t="str">
        <x:f>IF(A249="","",Students!F249)</x:f>
      </x:c>
      <x:c r="C249" s="17" t="str">
        <x:f>IF(A249="","",Students!G249)</x:f>
      </x:c>
      <x:c r="D249" s="17" t="str">
        <x:f>IF(A249="","",Students!H249)</x:f>
      </x:c>
      <x:c r="E249" s="22" t="str">
        <x:f>IF(A249="","",COUNTIFS(Late_Transactions!E:E,A249,Late_Transactions!K:K,"Recorded"))</x:f>
      </x:c>
      <x:c r="F249" s="21" t="n">
        <x:f>IFERROR(MAXIFS(Late_Transactions!C:C,Late_Transactions!E:E,A249,Late_Transactions!K:K,"Recorded"),"")</x:f>
        <x:v>0</x:v>
      </x:c>
      <x:c r="G249" s="17" t="str">
        <x:f>IF(E249="","",IF(E249&gt;=5,"High",IF(E249&gt;=3,"Watch","OK")))</x:f>
      </x:c>
    </x:row>
    <x:row r="250">
      <x:c r="A250" s="17" t="str">
        <x:f>IF(Students!A250="","",Students!A250)</x:f>
      </x:c>
      <x:c r="B250" s="17" t="str">
        <x:f>IF(A250="","",Students!F250)</x:f>
      </x:c>
      <x:c r="C250" s="17" t="str">
        <x:f>IF(A250="","",Students!G250)</x:f>
      </x:c>
      <x:c r="D250" s="17" t="str">
        <x:f>IF(A250="","",Students!H250)</x:f>
      </x:c>
      <x:c r="E250" s="22" t="str">
        <x:f>IF(A250="","",COUNTIFS(Late_Transactions!E:E,A250,Late_Transactions!K:K,"Recorded"))</x:f>
      </x:c>
      <x:c r="F250" s="21" t="n">
        <x:f>IFERROR(MAXIFS(Late_Transactions!C:C,Late_Transactions!E:E,A250,Late_Transactions!K:K,"Recorded"),"")</x:f>
        <x:v>0</x:v>
      </x:c>
      <x:c r="G250" s="17" t="str">
        <x:f>IF(E250="","",IF(E250&gt;=5,"High",IF(E250&gt;=3,"Watch","OK")))</x:f>
      </x:c>
    </x:row>
    <x:row r="251">
      <x:c r="A251" s="17" t="str">
        <x:f>IF(Students!A251="","",Students!A251)</x:f>
      </x:c>
      <x:c r="B251" s="17" t="str">
        <x:f>IF(A251="","",Students!F251)</x:f>
      </x:c>
      <x:c r="C251" s="17" t="str">
        <x:f>IF(A251="","",Students!G251)</x:f>
      </x:c>
      <x:c r="D251" s="17" t="str">
        <x:f>IF(A251="","",Students!H251)</x:f>
      </x:c>
      <x:c r="E251" s="22" t="str">
        <x:f>IF(A251="","",COUNTIFS(Late_Transactions!E:E,A251,Late_Transactions!K:K,"Recorded"))</x:f>
      </x:c>
      <x:c r="F251" s="21" t="n">
        <x:f>IFERROR(MAXIFS(Late_Transactions!C:C,Late_Transactions!E:E,A251,Late_Transactions!K:K,"Recorded"),"")</x:f>
        <x:v>0</x:v>
      </x:c>
      <x:c r="G251" s="17" t="str">
        <x:f>IF(E251="","",IF(E251&gt;=5,"High",IF(E251&gt;=3,"Watch","OK")))</x:f>
      </x:c>
    </x:row>
    <x:row r="252">
      <x:c r="A252" s="17" t="str">
        <x:f>IF(Students!A252="","",Students!A252)</x:f>
      </x:c>
      <x:c r="B252" s="17" t="str">
        <x:f>IF(A252="","",Students!F252)</x:f>
      </x:c>
      <x:c r="C252" s="17" t="str">
        <x:f>IF(A252="","",Students!G252)</x:f>
      </x:c>
      <x:c r="D252" s="17" t="str">
        <x:f>IF(A252="","",Students!H252)</x:f>
      </x:c>
      <x:c r="E252" s="22" t="str">
        <x:f>IF(A252="","",COUNTIFS(Late_Transactions!E:E,A252,Late_Transactions!K:K,"Recorded"))</x:f>
      </x:c>
      <x:c r="F252" s="21" t="n">
        <x:f>IFERROR(MAXIFS(Late_Transactions!C:C,Late_Transactions!E:E,A252,Late_Transactions!K:K,"Recorded"),"")</x:f>
        <x:v>0</x:v>
      </x:c>
      <x:c r="G252" s="17" t="str">
        <x:f>IF(E252="","",IF(E252&gt;=5,"High",IF(E252&gt;=3,"Watch","OK")))</x:f>
      </x:c>
    </x:row>
    <x:row r="253">
      <x:c r="A253" s="17" t="str">
        <x:f>IF(Students!A253="","",Students!A253)</x:f>
      </x:c>
      <x:c r="B253" s="17" t="str">
        <x:f>IF(A253="","",Students!F253)</x:f>
      </x:c>
      <x:c r="C253" s="17" t="str">
        <x:f>IF(A253="","",Students!G253)</x:f>
      </x:c>
      <x:c r="D253" s="17" t="str">
        <x:f>IF(A253="","",Students!H253)</x:f>
      </x:c>
      <x:c r="E253" s="22" t="str">
        <x:f>IF(A253="","",COUNTIFS(Late_Transactions!E:E,A253,Late_Transactions!K:K,"Recorded"))</x:f>
      </x:c>
      <x:c r="F253" s="21" t="n">
        <x:f>IFERROR(MAXIFS(Late_Transactions!C:C,Late_Transactions!E:E,A253,Late_Transactions!K:K,"Recorded"),"")</x:f>
        <x:v>0</x:v>
      </x:c>
      <x:c r="G253" s="17" t="str">
        <x:f>IF(E253="","",IF(E253&gt;=5,"High",IF(E253&gt;=3,"Watch","OK")))</x:f>
      </x:c>
    </x:row>
    <x:row r="254">
      <x:c r="A254" s="17" t="str">
        <x:f>IF(Students!A254="","",Students!A254)</x:f>
      </x:c>
      <x:c r="B254" s="17" t="str">
        <x:f>IF(A254="","",Students!F254)</x:f>
      </x:c>
      <x:c r="C254" s="17" t="str">
        <x:f>IF(A254="","",Students!G254)</x:f>
      </x:c>
      <x:c r="D254" s="17" t="str">
        <x:f>IF(A254="","",Students!H254)</x:f>
      </x:c>
      <x:c r="E254" s="22" t="str">
        <x:f>IF(A254="","",COUNTIFS(Late_Transactions!E:E,A254,Late_Transactions!K:K,"Recorded"))</x:f>
      </x:c>
      <x:c r="F254" s="21" t="n">
        <x:f>IFERROR(MAXIFS(Late_Transactions!C:C,Late_Transactions!E:E,A254,Late_Transactions!K:K,"Recorded"),"")</x:f>
        <x:v>0</x:v>
      </x:c>
      <x:c r="G254" s="17" t="str">
        <x:f>IF(E254="","",IF(E254&gt;=5,"High",IF(E254&gt;=3,"Watch","OK")))</x:f>
      </x:c>
    </x:row>
    <x:row r="255">
      <x:c r="A255" s="17" t="str">
        <x:f>IF(Students!A255="","",Students!A255)</x:f>
      </x:c>
      <x:c r="B255" s="17" t="str">
        <x:f>IF(A255="","",Students!F255)</x:f>
      </x:c>
      <x:c r="C255" s="17" t="str">
        <x:f>IF(A255="","",Students!G255)</x:f>
      </x:c>
      <x:c r="D255" s="17" t="str">
        <x:f>IF(A255="","",Students!H255)</x:f>
      </x:c>
      <x:c r="E255" s="22" t="str">
        <x:f>IF(A255="","",COUNTIFS(Late_Transactions!E:E,A255,Late_Transactions!K:K,"Recorded"))</x:f>
      </x:c>
      <x:c r="F255" s="21" t="n">
        <x:f>IFERROR(MAXIFS(Late_Transactions!C:C,Late_Transactions!E:E,A255,Late_Transactions!K:K,"Recorded"),"")</x:f>
        <x:v>0</x:v>
      </x:c>
      <x:c r="G255" s="17" t="str">
        <x:f>IF(E255="","",IF(E255&gt;=5,"High",IF(E255&gt;=3,"Watch","OK")))</x:f>
      </x:c>
    </x:row>
    <x:row r="256">
      <x:c r="A256" s="17" t="str">
        <x:f>IF(Students!A256="","",Students!A256)</x:f>
      </x:c>
      <x:c r="B256" s="17" t="str">
        <x:f>IF(A256="","",Students!F256)</x:f>
      </x:c>
      <x:c r="C256" s="17" t="str">
        <x:f>IF(A256="","",Students!G256)</x:f>
      </x:c>
      <x:c r="D256" s="17" t="str">
        <x:f>IF(A256="","",Students!H256)</x:f>
      </x:c>
      <x:c r="E256" s="22" t="str">
        <x:f>IF(A256="","",COUNTIFS(Late_Transactions!E:E,A256,Late_Transactions!K:K,"Recorded"))</x:f>
      </x:c>
      <x:c r="F256" s="21" t="n">
        <x:f>IFERROR(MAXIFS(Late_Transactions!C:C,Late_Transactions!E:E,A256,Late_Transactions!K:K,"Recorded"),"")</x:f>
        <x:v>0</x:v>
      </x:c>
      <x:c r="G256" s="17" t="str">
        <x:f>IF(E256="","",IF(E256&gt;=5,"High",IF(E256&gt;=3,"Watch","OK")))</x:f>
      </x:c>
    </x:row>
    <x:row r="257">
      <x:c r="A257" s="17" t="str">
        <x:f>IF(Students!A257="","",Students!A257)</x:f>
      </x:c>
      <x:c r="B257" s="17" t="str">
        <x:f>IF(A257="","",Students!F257)</x:f>
      </x:c>
      <x:c r="C257" s="17" t="str">
        <x:f>IF(A257="","",Students!G257)</x:f>
      </x:c>
      <x:c r="D257" s="17" t="str">
        <x:f>IF(A257="","",Students!H257)</x:f>
      </x:c>
      <x:c r="E257" s="22" t="str">
        <x:f>IF(A257="","",COUNTIFS(Late_Transactions!E:E,A257,Late_Transactions!K:K,"Recorded"))</x:f>
      </x:c>
      <x:c r="F257" s="21" t="n">
        <x:f>IFERROR(MAXIFS(Late_Transactions!C:C,Late_Transactions!E:E,A257,Late_Transactions!K:K,"Recorded"),"")</x:f>
        <x:v>0</x:v>
      </x:c>
      <x:c r="G257" s="17" t="str">
        <x:f>IF(E257="","",IF(E257&gt;=5,"High",IF(E257&gt;=3,"Watch","OK")))</x:f>
      </x:c>
    </x:row>
    <x:row r="258">
      <x:c r="A258" s="17" t="str">
        <x:f>IF(Students!A258="","",Students!A258)</x:f>
      </x:c>
      <x:c r="B258" s="17" t="str">
        <x:f>IF(A258="","",Students!F258)</x:f>
      </x:c>
      <x:c r="C258" s="17" t="str">
        <x:f>IF(A258="","",Students!G258)</x:f>
      </x:c>
      <x:c r="D258" s="17" t="str">
        <x:f>IF(A258="","",Students!H258)</x:f>
      </x:c>
      <x:c r="E258" s="22" t="str">
        <x:f>IF(A258="","",COUNTIFS(Late_Transactions!E:E,A258,Late_Transactions!K:K,"Recorded"))</x:f>
      </x:c>
      <x:c r="F258" s="21" t="n">
        <x:f>IFERROR(MAXIFS(Late_Transactions!C:C,Late_Transactions!E:E,A258,Late_Transactions!K:K,"Recorded"),"")</x:f>
        <x:v>0</x:v>
      </x:c>
      <x:c r="G258" s="17" t="str">
        <x:f>IF(E258="","",IF(E258&gt;=5,"High",IF(E258&gt;=3,"Watch","OK")))</x:f>
      </x:c>
    </x:row>
    <x:row r="259">
      <x:c r="A259" s="17" t="str">
        <x:f>IF(Students!A259="","",Students!A259)</x:f>
      </x:c>
      <x:c r="B259" s="17" t="str">
        <x:f>IF(A259="","",Students!F259)</x:f>
      </x:c>
      <x:c r="C259" s="17" t="str">
        <x:f>IF(A259="","",Students!G259)</x:f>
      </x:c>
      <x:c r="D259" s="17" t="str">
        <x:f>IF(A259="","",Students!H259)</x:f>
      </x:c>
      <x:c r="E259" s="22" t="str">
        <x:f>IF(A259="","",COUNTIFS(Late_Transactions!E:E,A259,Late_Transactions!K:K,"Recorded"))</x:f>
      </x:c>
      <x:c r="F259" s="21" t="n">
        <x:f>IFERROR(MAXIFS(Late_Transactions!C:C,Late_Transactions!E:E,A259,Late_Transactions!K:K,"Recorded"),"")</x:f>
        <x:v>0</x:v>
      </x:c>
      <x:c r="G259" s="17" t="str">
        <x:f>IF(E259="","",IF(E259&gt;=5,"High",IF(E259&gt;=3,"Watch","OK")))</x:f>
      </x:c>
    </x:row>
    <x:row r="260">
      <x:c r="A260" s="17" t="str">
        <x:f>IF(Students!A260="","",Students!A260)</x:f>
      </x:c>
      <x:c r="B260" s="17" t="str">
        <x:f>IF(A260="","",Students!F260)</x:f>
      </x:c>
      <x:c r="C260" s="17" t="str">
        <x:f>IF(A260="","",Students!G260)</x:f>
      </x:c>
      <x:c r="D260" s="17" t="str">
        <x:f>IF(A260="","",Students!H260)</x:f>
      </x:c>
      <x:c r="E260" s="22" t="str">
        <x:f>IF(A260="","",COUNTIFS(Late_Transactions!E:E,A260,Late_Transactions!K:K,"Recorded"))</x:f>
      </x:c>
      <x:c r="F260" s="21" t="n">
        <x:f>IFERROR(MAXIFS(Late_Transactions!C:C,Late_Transactions!E:E,A260,Late_Transactions!K:K,"Recorded"),"")</x:f>
        <x:v>0</x:v>
      </x:c>
      <x:c r="G260" s="17" t="str">
        <x:f>IF(E260="","",IF(E260&gt;=5,"High",IF(E260&gt;=3,"Watch","OK")))</x:f>
      </x:c>
    </x:row>
    <x:row r="261">
      <x:c r="A261" s="17" t="str">
        <x:f>IF(Students!A261="","",Students!A261)</x:f>
      </x:c>
      <x:c r="B261" s="17" t="str">
        <x:f>IF(A261="","",Students!F261)</x:f>
      </x:c>
      <x:c r="C261" s="17" t="str">
        <x:f>IF(A261="","",Students!G261)</x:f>
      </x:c>
      <x:c r="D261" s="17" t="str">
        <x:f>IF(A261="","",Students!H261)</x:f>
      </x:c>
      <x:c r="E261" s="22" t="str">
        <x:f>IF(A261="","",COUNTIFS(Late_Transactions!E:E,A261,Late_Transactions!K:K,"Recorded"))</x:f>
      </x:c>
      <x:c r="F261" s="21" t="n">
        <x:f>IFERROR(MAXIFS(Late_Transactions!C:C,Late_Transactions!E:E,A261,Late_Transactions!K:K,"Recorded"),"")</x:f>
        <x:v>0</x:v>
      </x:c>
      <x:c r="G261" s="17" t="str">
        <x:f>IF(E261="","",IF(E261&gt;=5,"High",IF(E261&gt;=3,"Watch","OK")))</x:f>
      </x:c>
    </x:row>
    <x:row r="262">
      <x:c r="A262" s="17" t="str">
        <x:f>IF(Students!A262="","",Students!A262)</x:f>
      </x:c>
      <x:c r="B262" s="17" t="str">
        <x:f>IF(A262="","",Students!F262)</x:f>
      </x:c>
      <x:c r="C262" s="17" t="str">
        <x:f>IF(A262="","",Students!G262)</x:f>
      </x:c>
      <x:c r="D262" s="17" t="str">
        <x:f>IF(A262="","",Students!H262)</x:f>
      </x:c>
      <x:c r="E262" s="22" t="str">
        <x:f>IF(A262="","",COUNTIFS(Late_Transactions!E:E,A262,Late_Transactions!K:K,"Recorded"))</x:f>
      </x:c>
      <x:c r="F262" s="21" t="n">
        <x:f>IFERROR(MAXIFS(Late_Transactions!C:C,Late_Transactions!E:E,A262,Late_Transactions!K:K,"Recorded"),"")</x:f>
        <x:v>0</x:v>
      </x:c>
      <x:c r="G262" s="17" t="str">
        <x:f>IF(E262="","",IF(E262&gt;=5,"High",IF(E262&gt;=3,"Watch","OK")))</x:f>
      </x:c>
    </x:row>
    <x:row r="263">
      <x:c r="A263" s="17" t="str">
        <x:f>IF(Students!A263="","",Students!A263)</x:f>
      </x:c>
      <x:c r="B263" s="17" t="str">
        <x:f>IF(A263="","",Students!F263)</x:f>
      </x:c>
      <x:c r="C263" s="17" t="str">
        <x:f>IF(A263="","",Students!G263)</x:f>
      </x:c>
      <x:c r="D263" s="17" t="str">
        <x:f>IF(A263="","",Students!H263)</x:f>
      </x:c>
      <x:c r="E263" s="22" t="str">
        <x:f>IF(A263="","",COUNTIFS(Late_Transactions!E:E,A263,Late_Transactions!K:K,"Recorded"))</x:f>
      </x:c>
      <x:c r="F263" s="21" t="n">
        <x:f>IFERROR(MAXIFS(Late_Transactions!C:C,Late_Transactions!E:E,A263,Late_Transactions!K:K,"Recorded"),"")</x:f>
        <x:v>0</x:v>
      </x:c>
      <x:c r="G263" s="17" t="str">
        <x:f>IF(E263="","",IF(E263&gt;=5,"High",IF(E263&gt;=3,"Watch","OK")))</x:f>
      </x:c>
    </x:row>
    <x:row r="264">
      <x:c r="A264" s="17" t="str">
        <x:f>IF(Students!A264="","",Students!A264)</x:f>
      </x:c>
      <x:c r="B264" s="17" t="str">
        <x:f>IF(A264="","",Students!F264)</x:f>
      </x:c>
      <x:c r="C264" s="17" t="str">
        <x:f>IF(A264="","",Students!G264)</x:f>
      </x:c>
      <x:c r="D264" s="17" t="str">
        <x:f>IF(A264="","",Students!H264)</x:f>
      </x:c>
      <x:c r="E264" s="22" t="str">
        <x:f>IF(A264="","",COUNTIFS(Late_Transactions!E:E,A264,Late_Transactions!K:K,"Recorded"))</x:f>
      </x:c>
      <x:c r="F264" s="21" t="n">
        <x:f>IFERROR(MAXIFS(Late_Transactions!C:C,Late_Transactions!E:E,A264,Late_Transactions!K:K,"Recorded"),"")</x:f>
        <x:v>0</x:v>
      </x:c>
      <x:c r="G264" s="17" t="str">
        <x:f>IF(E264="","",IF(E264&gt;=5,"High",IF(E264&gt;=3,"Watch","OK")))</x:f>
      </x:c>
    </x:row>
    <x:row r="265">
      <x:c r="A265" s="17" t="str">
        <x:f>IF(Students!A265="","",Students!A265)</x:f>
      </x:c>
      <x:c r="B265" s="17" t="str">
        <x:f>IF(A265="","",Students!F265)</x:f>
      </x:c>
      <x:c r="C265" s="17" t="str">
        <x:f>IF(A265="","",Students!G265)</x:f>
      </x:c>
      <x:c r="D265" s="17" t="str">
        <x:f>IF(A265="","",Students!H265)</x:f>
      </x:c>
      <x:c r="E265" s="22" t="str">
        <x:f>IF(A265="","",COUNTIFS(Late_Transactions!E:E,A265,Late_Transactions!K:K,"Recorded"))</x:f>
      </x:c>
      <x:c r="F265" s="21" t="n">
        <x:f>IFERROR(MAXIFS(Late_Transactions!C:C,Late_Transactions!E:E,A265,Late_Transactions!K:K,"Recorded"),"")</x:f>
        <x:v>0</x:v>
      </x:c>
      <x:c r="G265" s="17" t="str">
        <x:f>IF(E265="","",IF(E265&gt;=5,"High",IF(E265&gt;=3,"Watch","OK")))</x:f>
      </x:c>
    </x:row>
    <x:row r="266">
      <x:c r="A266" s="17" t="str">
        <x:f>IF(Students!A266="","",Students!A266)</x:f>
      </x:c>
      <x:c r="B266" s="17" t="str">
        <x:f>IF(A266="","",Students!F266)</x:f>
      </x:c>
      <x:c r="C266" s="17" t="str">
        <x:f>IF(A266="","",Students!G266)</x:f>
      </x:c>
      <x:c r="D266" s="17" t="str">
        <x:f>IF(A266="","",Students!H266)</x:f>
      </x:c>
      <x:c r="E266" s="22" t="str">
        <x:f>IF(A266="","",COUNTIFS(Late_Transactions!E:E,A266,Late_Transactions!K:K,"Recorded"))</x:f>
      </x:c>
      <x:c r="F266" s="21" t="n">
        <x:f>IFERROR(MAXIFS(Late_Transactions!C:C,Late_Transactions!E:E,A266,Late_Transactions!K:K,"Recorded"),"")</x:f>
        <x:v>0</x:v>
      </x:c>
      <x:c r="G266" s="17" t="str">
        <x:f>IF(E266="","",IF(E266&gt;=5,"High",IF(E266&gt;=3,"Watch","OK")))</x:f>
      </x:c>
    </x:row>
    <x:row r="267">
      <x:c r="A267" s="17" t="str">
        <x:f>IF(Students!A267="","",Students!A267)</x:f>
      </x:c>
      <x:c r="B267" s="17" t="str">
        <x:f>IF(A267="","",Students!F267)</x:f>
      </x:c>
      <x:c r="C267" s="17" t="str">
        <x:f>IF(A267="","",Students!G267)</x:f>
      </x:c>
      <x:c r="D267" s="17" t="str">
        <x:f>IF(A267="","",Students!H267)</x:f>
      </x:c>
      <x:c r="E267" s="22" t="str">
        <x:f>IF(A267="","",COUNTIFS(Late_Transactions!E:E,A267,Late_Transactions!K:K,"Recorded"))</x:f>
      </x:c>
      <x:c r="F267" s="21" t="n">
        <x:f>IFERROR(MAXIFS(Late_Transactions!C:C,Late_Transactions!E:E,A267,Late_Transactions!K:K,"Recorded"),"")</x:f>
        <x:v>0</x:v>
      </x:c>
      <x:c r="G267" s="17" t="str">
        <x:f>IF(E267="","",IF(E267&gt;=5,"High",IF(E267&gt;=3,"Watch","OK")))</x:f>
      </x:c>
    </x:row>
    <x:row r="268">
      <x:c r="A268" s="17" t="str">
        <x:f>IF(Students!A268="","",Students!A268)</x:f>
      </x:c>
      <x:c r="B268" s="17" t="str">
        <x:f>IF(A268="","",Students!F268)</x:f>
      </x:c>
      <x:c r="C268" s="17" t="str">
        <x:f>IF(A268="","",Students!G268)</x:f>
      </x:c>
      <x:c r="D268" s="17" t="str">
        <x:f>IF(A268="","",Students!H268)</x:f>
      </x:c>
      <x:c r="E268" s="22" t="str">
        <x:f>IF(A268="","",COUNTIFS(Late_Transactions!E:E,A268,Late_Transactions!K:K,"Recorded"))</x:f>
      </x:c>
      <x:c r="F268" s="21" t="n">
        <x:f>IFERROR(MAXIFS(Late_Transactions!C:C,Late_Transactions!E:E,A268,Late_Transactions!K:K,"Recorded"),"")</x:f>
        <x:v>0</x:v>
      </x:c>
      <x:c r="G268" s="17" t="str">
        <x:f>IF(E268="","",IF(E268&gt;=5,"High",IF(E268&gt;=3,"Watch","OK")))</x:f>
      </x:c>
    </x:row>
    <x:row r="269">
      <x:c r="A269" s="17" t="str">
        <x:f>IF(Students!A269="","",Students!A269)</x:f>
      </x:c>
      <x:c r="B269" s="17" t="str">
        <x:f>IF(A269="","",Students!F269)</x:f>
      </x:c>
      <x:c r="C269" s="17" t="str">
        <x:f>IF(A269="","",Students!G269)</x:f>
      </x:c>
      <x:c r="D269" s="17" t="str">
        <x:f>IF(A269="","",Students!H269)</x:f>
      </x:c>
      <x:c r="E269" s="22" t="str">
        <x:f>IF(A269="","",COUNTIFS(Late_Transactions!E:E,A269,Late_Transactions!K:K,"Recorded"))</x:f>
      </x:c>
      <x:c r="F269" s="21" t="n">
        <x:f>IFERROR(MAXIFS(Late_Transactions!C:C,Late_Transactions!E:E,A269,Late_Transactions!K:K,"Recorded"),"")</x:f>
        <x:v>0</x:v>
      </x:c>
      <x:c r="G269" s="17" t="str">
        <x:f>IF(E269="","",IF(E269&gt;=5,"High",IF(E269&gt;=3,"Watch","OK")))</x:f>
      </x:c>
    </x:row>
    <x:row r="270">
      <x:c r="A270" s="17" t="str">
        <x:f>IF(Students!A270="","",Students!A270)</x:f>
      </x:c>
      <x:c r="B270" s="17" t="str">
        <x:f>IF(A270="","",Students!F270)</x:f>
      </x:c>
      <x:c r="C270" s="17" t="str">
        <x:f>IF(A270="","",Students!G270)</x:f>
      </x:c>
      <x:c r="D270" s="17" t="str">
        <x:f>IF(A270="","",Students!H270)</x:f>
      </x:c>
      <x:c r="E270" s="22" t="str">
        <x:f>IF(A270="","",COUNTIFS(Late_Transactions!E:E,A270,Late_Transactions!K:K,"Recorded"))</x:f>
      </x:c>
      <x:c r="F270" s="21" t="n">
        <x:f>IFERROR(MAXIFS(Late_Transactions!C:C,Late_Transactions!E:E,A270,Late_Transactions!K:K,"Recorded"),"")</x:f>
        <x:v>0</x:v>
      </x:c>
      <x:c r="G270" s="17" t="str">
        <x:f>IF(E270="","",IF(E270&gt;=5,"High",IF(E270&gt;=3,"Watch","OK")))</x:f>
      </x:c>
    </x:row>
    <x:row r="271">
      <x:c r="A271" s="17" t="str">
        <x:f>IF(Students!A271="","",Students!A271)</x:f>
      </x:c>
      <x:c r="B271" s="17" t="str">
        <x:f>IF(A271="","",Students!F271)</x:f>
      </x:c>
      <x:c r="C271" s="17" t="str">
        <x:f>IF(A271="","",Students!G271)</x:f>
      </x:c>
      <x:c r="D271" s="17" t="str">
        <x:f>IF(A271="","",Students!H271)</x:f>
      </x:c>
      <x:c r="E271" s="22" t="str">
        <x:f>IF(A271="","",COUNTIFS(Late_Transactions!E:E,A271,Late_Transactions!K:K,"Recorded"))</x:f>
      </x:c>
      <x:c r="F271" s="21" t="n">
        <x:f>IFERROR(MAXIFS(Late_Transactions!C:C,Late_Transactions!E:E,A271,Late_Transactions!K:K,"Recorded"),"")</x:f>
        <x:v>0</x:v>
      </x:c>
      <x:c r="G271" s="17" t="str">
        <x:f>IF(E271="","",IF(E271&gt;=5,"High",IF(E271&gt;=3,"Watch","OK")))</x:f>
      </x:c>
    </x:row>
    <x:row r="272">
      <x:c r="A272" s="17" t="str">
        <x:f>IF(Students!A272="","",Students!A272)</x:f>
      </x:c>
      <x:c r="B272" s="17" t="str">
        <x:f>IF(A272="","",Students!F272)</x:f>
      </x:c>
      <x:c r="C272" s="17" t="str">
        <x:f>IF(A272="","",Students!G272)</x:f>
      </x:c>
      <x:c r="D272" s="17" t="str">
        <x:f>IF(A272="","",Students!H272)</x:f>
      </x:c>
      <x:c r="E272" s="22" t="str">
        <x:f>IF(A272="","",COUNTIFS(Late_Transactions!E:E,A272,Late_Transactions!K:K,"Recorded"))</x:f>
      </x:c>
      <x:c r="F272" s="21" t="n">
        <x:f>IFERROR(MAXIFS(Late_Transactions!C:C,Late_Transactions!E:E,A272,Late_Transactions!K:K,"Recorded"),"")</x:f>
        <x:v>0</x:v>
      </x:c>
      <x:c r="G272" s="17" t="str">
        <x:f>IF(E272="","",IF(E272&gt;=5,"High",IF(E272&gt;=3,"Watch","OK")))</x:f>
      </x:c>
    </x:row>
    <x:row r="273">
      <x:c r="A273" s="17" t="str">
        <x:f>IF(Students!A273="","",Students!A273)</x:f>
      </x:c>
      <x:c r="B273" s="17" t="str">
        <x:f>IF(A273="","",Students!F273)</x:f>
      </x:c>
      <x:c r="C273" s="17" t="str">
        <x:f>IF(A273="","",Students!G273)</x:f>
      </x:c>
      <x:c r="D273" s="17" t="str">
        <x:f>IF(A273="","",Students!H273)</x:f>
      </x:c>
      <x:c r="E273" s="22" t="str">
        <x:f>IF(A273="","",COUNTIFS(Late_Transactions!E:E,A273,Late_Transactions!K:K,"Recorded"))</x:f>
      </x:c>
      <x:c r="F273" s="21" t="n">
        <x:f>IFERROR(MAXIFS(Late_Transactions!C:C,Late_Transactions!E:E,A273,Late_Transactions!K:K,"Recorded"),"")</x:f>
        <x:v>0</x:v>
      </x:c>
      <x:c r="G273" s="17" t="str">
        <x:f>IF(E273="","",IF(E273&gt;=5,"High",IF(E273&gt;=3,"Watch","OK")))</x:f>
      </x:c>
    </x:row>
    <x:row r="274">
      <x:c r="A274" s="17" t="str">
        <x:f>IF(Students!A274="","",Students!A274)</x:f>
      </x:c>
      <x:c r="B274" s="17" t="str">
        <x:f>IF(A274="","",Students!F274)</x:f>
      </x:c>
      <x:c r="C274" s="17" t="str">
        <x:f>IF(A274="","",Students!G274)</x:f>
      </x:c>
      <x:c r="D274" s="17" t="str">
        <x:f>IF(A274="","",Students!H274)</x:f>
      </x:c>
      <x:c r="E274" s="22" t="str">
        <x:f>IF(A274="","",COUNTIFS(Late_Transactions!E:E,A274,Late_Transactions!K:K,"Recorded"))</x:f>
      </x:c>
      <x:c r="F274" s="21" t="n">
        <x:f>IFERROR(MAXIFS(Late_Transactions!C:C,Late_Transactions!E:E,A274,Late_Transactions!K:K,"Recorded"),"")</x:f>
        <x:v>0</x:v>
      </x:c>
      <x:c r="G274" s="17" t="str">
        <x:f>IF(E274="","",IF(E274&gt;=5,"High",IF(E274&gt;=3,"Watch","OK")))</x:f>
      </x:c>
    </x:row>
    <x:row r="275">
      <x:c r="A275" s="17" t="str">
        <x:f>IF(Students!A275="","",Students!A275)</x:f>
      </x:c>
      <x:c r="B275" s="17" t="str">
        <x:f>IF(A275="","",Students!F275)</x:f>
      </x:c>
      <x:c r="C275" s="17" t="str">
        <x:f>IF(A275="","",Students!G275)</x:f>
      </x:c>
      <x:c r="D275" s="17" t="str">
        <x:f>IF(A275="","",Students!H275)</x:f>
      </x:c>
      <x:c r="E275" s="22" t="str">
        <x:f>IF(A275="","",COUNTIFS(Late_Transactions!E:E,A275,Late_Transactions!K:K,"Recorded"))</x:f>
      </x:c>
      <x:c r="F275" s="21" t="n">
        <x:f>IFERROR(MAXIFS(Late_Transactions!C:C,Late_Transactions!E:E,A275,Late_Transactions!K:K,"Recorded"),"")</x:f>
        <x:v>0</x:v>
      </x:c>
      <x:c r="G275" s="17" t="str">
        <x:f>IF(E275="","",IF(E275&gt;=5,"High",IF(E275&gt;=3,"Watch","OK")))</x:f>
      </x:c>
    </x:row>
    <x:row r="276">
      <x:c r="A276" s="17" t="str">
        <x:f>IF(Students!A276="","",Students!A276)</x:f>
      </x:c>
      <x:c r="B276" s="17" t="str">
        <x:f>IF(A276="","",Students!F276)</x:f>
      </x:c>
      <x:c r="C276" s="17" t="str">
        <x:f>IF(A276="","",Students!G276)</x:f>
      </x:c>
      <x:c r="D276" s="17" t="str">
        <x:f>IF(A276="","",Students!H276)</x:f>
      </x:c>
      <x:c r="E276" s="22" t="str">
        <x:f>IF(A276="","",COUNTIFS(Late_Transactions!E:E,A276,Late_Transactions!K:K,"Recorded"))</x:f>
      </x:c>
      <x:c r="F276" s="21" t="n">
        <x:f>IFERROR(MAXIFS(Late_Transactions!C:C,Late_Transactions!E:E,A276,Late_Transactions!K:K,"Recorded"),"")</x:f>
        <x:v>0</x:v>
      </x:c>
      <x:c r="G276" s="17" t="str">
        <x:f>IF(E276="","",IF(E276&gt;=5,"High",IF(E276&gt;=3,"Watch","OK")))</x:f>
      </x:c>
    </x:row>
    <x:row r="277">
      <x:c r="A277" s="17" t="str">
        <x:f>IF(Students!A277="","",Students!A277)</x:f>
      </x:c>
      <x:c r="B277" s="17" t="str">
        <x:f>IF(A277="","",Students!F277)</x:f>
      </x:c>
      <x:c r="C277" s="17" t="str">
        <x:f>IF(A277="","",Students!G277)</x:f>
      </x:c>
      <x:c r="D277" s="17" t="str">
        <x:f>IF(A277="","",Students!H277)</x:f>
      </x:c>
      <x:c r="E277" s="22" t="str">
        <x:f>IF(A277="","",COUNTIFS(Late_Transactions!E:E,A277,Late_Transactions!K:K,"Recorded"))</x:f>
      </x:c>
      <x:c r="F277" s="21" t="n">
        <x:f>IFERROR(MAXIFS(Late_Transactions!C:C,Late_Transactions!E:E,A277,Late_Transactions!K:K,"Recorded"),"")</x:f>
        <x:v>0</x:v>
      </x:c>
      <x:c r="G277" s="17" t="str">
        <x:f>IF(E277="","",IF(E277&gt;=5,"High",IF(E277&gt;=3,"Watch","OK")))</x:f>
      </x:c>
    </x:row>
    <x:row r="278">
      <x:c r="A278" s="17" t="str">
        <x:f>IF(Students!A278="","",Students!A278)</x:f>
      </x:c>
      <x:c r="B278" s="17" t="str">
        <x:f>IF(A278="","",Students!F278)</x:f>
      </x:c>
      <x:c r="C278" s="17" t="str">
        <x:f>IF(A278="","",Students!G278)</x:f>
      </x:c>
      <x:c r="D278" s="17" t="str">
        <x:f>IF(A278="","",Students!H278)</x:f>
      </x:c>
      <x:c r="E278" s="22" t="str">
        <x:f>IF(A278="","",COUNTIFS(Late_Transactions!E:E,A278,Late_Transactions!K:K,"Recorded"))</x:f>
      </x:c>
      <x:c r="F278" s="21" t="n">
        <x:f>IFERROR(MAXIFS(Late_Transactions!C:C,Late_Transactions!E:E,A278,Late_Transactions!K:K,"Recorded"),"")</x:f>
        <x:v>0</x:v>
      </x:c>
      <x:c r="G278" s="17" t="str">
        <x:f>IF(E278="","",IF(E278&gt;=5,"High",IF(E278&gt;=3,"Watch","OK")))</x:f>
      </x:c>
    </x:row>
    <x:row r="279">
      <x:c r="A279" s="17" t="str">
        <x:f>IF(Students!A279="","",Students!A279)</x:f>
      </x:c>
      <x:c r="B279" s="17" t="str">
        <x:f>IF(A279="","",Students!F279)</x:f>
      </x:c>
      <x:c r="C279" s="17" t="str">
        <x:f>IF(A279="","",Students!G279)</x:f>
      </x:c>
      <x:c r="D279" s="17" t="str">
        <x:f>IF(A279="","",Students!H279)</x:f>
      </x:c>
      <x:c r="E279" s="22" t="str">
        <x:f>IF(A279="","",COUNTIFS(Late_Transactions!E:E,A279,Late_Transactions!K:K,"Recorded"))</x:f>
      </x:c>
      <x:c r="F279" s="21" t="n">
        <x:f>IFERROR(MAXIFS(Late_Transactions!C:C,Late_Transactions!E:E,A279,Late_Transactions!K:K,"Recorded"),"")</x:f>
        <x:v>0</x:v>
      </x:c>
      <x:c r="G279" s="17" t="str">
        <x:f>IF(E279="","",IF(E279&gt;=5,"High",IF(E279&gt;=3,"Watch","OK")))</x:f>
      </x:c>
    </x:row>
    <x:row r="280">
      <x:c r="A280" s="17" t="str">
        <x:f>IF(Students!A280="","",Students!A280)</x:f>
      </x:c>
      <x:c r="B280" s="17" t="str">
        <x:f>IF(A280="","",Students!F280)</x:f>
      </x:c>
      <x:c r="C280" s="17" t="str">
        <x:f>IF(A280="","",Students!G280)</x:f>
      </x:c>
      <x:c r="D280" s="17" t="str">
        <x:f>IF(A280="","",Students!H280)</x:f>
      </x:c>
      <x:c r="E280" s="22" t="str">
        <x:f>IF(A280="","",COUNTIFS(Late_Transactions!E:E,A280,Late_Transactions!K:K,"Recorded"))</x:f>
      </x:c>
      <x:c r="F280" s="21" t="n">
        <x:f>IFERROR(MAXIFS(Late_Transactions!C:C,Late_Transactions!E:E,A280,Late_Transactions!K:K,"Recorded"),"")</x:f>
        <x:v>0</x:v>
      </x:c>
      <x:c r="G280" s="17" t="str">
        <x:f>IF(E280="","",IF(E280&gt;=5,"High",IF(E280&gt;=3,"Watch","OK")))</x:f>
      </x:c>
    </x:row>
    <x:row r="281">
      <x:c r="A281" s="17" t="str">
        <x:f>IF(Students!A281="","",Students!A281)</x:f>
      </x:c>
      <x:c r="B281" s="17" t="str">
        <x:f>IF(A281="","",Students!F281)</x:f>
      </x:c>
      <x:c r="C281" s="17" t="str">
        <x:f>IF(A281="","",Students!G281)</x:f>
      </x:c>
      <x:c r="D281" s="17" t="str">
        <x:f>IF(A281="","",Students!H281)</x:f>
      </x:c>
      <x:c r="E281" s="22" t="str">
        <x:f>IF(A281="","",COUNTIFS(Late_Transactions!E:E,A281,Late_Transactions!K:K,"Recorded"))</x:f>
      </x:c>
      <x:c r="F281" s="21" t="n">
        <x:f>IFERROR(MAXIFS(Late_Transactions!C:C,Late_Transactions!E:E,A281,Late_Transactions!K:K,"Recorded"),"")</x:f>
        <x:v>0</x:v>
      </x:c>
      <x:c r="G281" s="17" t="str">
        <x:f>IF(E281="","",IF(E281&gt;=5,"High",IF(E281&gt;=3,"Watch","OK")))</x:f>
      </x:c>
    </x:row>
    <x:row r="282">
      <x:c r="A282" s="17" t="str">
        <x:f>IF(Students!A282="","",Students!A282)</x:f>
      </x:c>
      <x:c r="B282" s="17" t="str">
        <x:f>IF(A282="","",Students!F282)</x:f>
      </x:c>
      <x:c r="C282" s="17" t="str">
        <x:f>IF(A282="","",Students!G282)</x:f>
      </x:c>
      <x:c r="D282" s="17" t="str">
        <x:f>IF(A282="","",Students!H282)</x:f>
      </x:c>
      <x:c r="E282" s="22" t="str">
        <x:f>IF(A282="","",COUNTIFS(Late_Transactions!E:E,A282,Late_Transactions!K:K,"Recorded"))</x:f>
      </x:c>
      <x:c r="F282" s="21" t="n">
        <x:f>IFERROR(MAXIFS(Late_Transactions!C:C,Late_Transactions!E:E,A282,Late_Transactions!K:K,"Recorded"),"")</x:f>
        <x:v>0</x:v>
      </x:c>
      <x:c r="G282" s="17" t="str">
        <x:f>IF(E282="","",IF(E282&gt;=5,"High",IF(E282&gt;=3,"Watch","OK")))</x:f>
      </x:c>
    </x:row>
    <x:row r="283">
      <x:c r="A283" s="17" t="str">
        <x:f>IF(Students!A283="","",Students!A283)</x:f>
      </x:c>
      <x:c r="B283" s="17" t="str">
        <x:f>IF(A283="","",Students!F283)</x:f>
      </x:c>
      <x:c r="C283" s="17" t="str">
        <x:f>IF(A283="","",Students!G283)</x:f>
      </x:c>
      <x:c r="D283" s="17" t="str">
        <x:f>IF(A283="","",Students!H283)</x:f>
      </x:c>
      <x:c r="E283" s="22" t="str">
        <x:f>IF(A283="","",COUNTIFS(Late_Transactions!E:E,A283,Late_Transactions!K:K,"Recorded"))</x:f>
      </x:c>
      <x:c r="F283" s="21" t="n">
        <x:f>IFERROR(MAXIFS(Late_Transactions!C:C,Late_Transactions!E:E,A283,Late_Transactions!K:K,"Recorded"),"")</x:f>
        <x:v>0</x:v>
      </x:c>
      <x:c r="G283" s="17" t="str">
        <x:f>IF(E283="","",IF(E283&gt;=5,"High",IF(E283&gt;=3,"Watch","OK")))</x:f>
      </x:c>
    </x:row>
    <x:row r="284">
      <x:c r="A284" s="17" t="str">
        <x:f>IF(Students!A284="","",Students!A284)</x:f>
      </x:c>
      <x:c r="B284" s="17" t="str">
        <x:f>IF(A284="","",Students!F284)</x:f>
      </x:c>
      <x:c r="C284" s="17" t="str">
        <x:f>IF(A284="","",Students!G284)</x:f>
      </x:c>
      <x:c r="D284" s="17" t="str">
        <x:f>IF(A284="","",Students!H284)</x:f>
      </x:c>
      <x:c r="E284" s="22" t="str">
        <x:f>IF(A284="","",COUNTIFS(Late_Transactions!E:E,A284,Late_Transactions!K:K,"Recorded"))</x:f>
      </x:c>
      <x:c r="F284" s="21" t="n">
        <x:f>IFERROR(MAXIFS(Late_Transactions!C:C,Late_Transactions!E:E,A284,Late_Transactions!K:K,"Recorded"),"")</x:f>
        <x:v>0</x:v>
      </x:c>
      <x:c r="G284" s="17" t="str">
        <x:f>IF(E284="","",IF(E284&gt;=5,"High",IF(E284&gt;=3,"Watch","OK")))</x:f>
      </x:c>
    </x:row>
    <x:row r="285">
      <x:c r="A285" s="17" t="str">
        <x:f>IF(Students!A285="","",Students!A285)</x:f>
      </x:c>
      <x:c r="B285" s="17" t="str">
        <x:f>IF(A285="","",Students!F285)</x:f>
      </x:c>
      <x:c r="C285" s="17" t="str">
        <x:f>IF(A285="","",Students!G285)</x:f>
      </x:c>
      <x:c r="D285" s="17" t="str">
        <x:f>IF(A285="","",Students!H285)</x:f>
      </x:c>
      <x:c r="E285" s="22" t="str">
        <x:f>IF(A285="","",COUNTIFS(Late_Transactions!E:E,A285,Late_Transactions!K:K,"Recorded"))</x:f>
      </x:c>
      <x:c r="F285" s="21" t="n">
        <x:f>IFERROR(MAXIFS(Late_Transactions!C:C,Late_Transactions!E:E,A285,Late_Transactions!K:K,"Recorded"),"")</x:f>
        <x:v>0</x:v>
      </x:c>
      <x:c r="G285" s="17" t="str">
        <x:f>IF(E285="","",IF(E285&gt;=5,"High",IF(E285&gt;=3,"Watch","OK")))</x:f>
      </x:c>
    </x:row>
    <x:row r="286">
      <x:c r="A286" s="17" t="str">
        <x:f>IF(Students!A286="","",Students!A286)</x:f>
      </x:c>
      <x:c r="B286" s="17" t="str">
        <x:f>IF(A286="","",Students!F286)</x:f>
      </x:c>
      <x:c r="C286" s="17" t="str">
        <x:f>IF(A286="","",Students!G286)</x:f>
      </x:c>
      <x:c r="D286" s="17" t="str">
        <x:f>IF(A286="","",Students!H286)</x:f>
      </x:c>
      <x:c r="E286" s="22" t="str">
        <x:f>IF(A286="","",COUNTIFS(Late_Transactions!E:E,A286,Late_Transactions!K:K,"Recorded"))</x:f>
      </x:c>
      <x:c r="F286" s="21" t="n">
        <x:f>IFERROR(MAXIFS(Late_Transactions!C:C,Late_Transactions!E:E,A286,Late_Transactions!K:K,"Recorded"),"")</x:f>
        <x:v>0</x:v>
      </x:c>
      <x:c r="G286" s="17" t="str">
        <x:f>IF(E286="","",IF(E286&gt;=5,"High",IF(E286&gt;=3,"Watch","OK")))</x:f>
      </x:c>
    </x:row>
    <x:row r="287">
      <x:c r="A287" s="17" t="str">
        <x:f>IF(Students!A287="","",Students!A287)</x:f>
      </x:c>
      <x:c r="B287" s="17" t="str">
        <x:f>IF(A287="","",Students!F287)</x:f>
      </x:c>
      <x:c r="C287" s="17" t="str">
        <x:f>IF(A287="","",Students!G287)</x:f>
      </x:c>
      <x:c r="D287" s="17" t="str">
        <x:f>IF(A287="","",Students!H287)</x:f>
      </x:c>
      <x:c r="E287" s="22" t="str">
        <x:f>IF(A287="","",COUNTIFS(Late_Transactions!E:E,A287,Late_Transactions!K:K,"Recorded"))</x:f>
      </x:c>
      <x:c r="F287" s="21" t="n">
        <x:f>IFERROR(MAXIFS(Late_Transactions!C:C,Late_Transactions!E:E,A287,Late_Transactions!K:K,"Recorded"),"")</x:f>
        <x:v>0</x:v>
      </x:c>
      <x:c r="G287" s="17" t="str">
        <x:f>IF(E287="","",IF(E287&gt;=5,"High",IF(E287&gt;=3,"Watch","OK")))</x:f>
      </x:c>
    </x:row>
    <x:row r="288">
      <x:c r="A288" s="17" t="str">
        <x:f>IF(Students!A288="","",Students!A288)</x:f>
      </x:c>
      <x:c r="B288" s="17" t="str">
        <x:f>IF(A288="","",Students!F288)</x:f>
      </x:c>
      <x:c r="C288" s="17" t="str">
        <x:f>IF(A288="","",Students!G288)</x:f>
      </x:c>
      <x:c r="D288" s="17" t="str">
        <x:f>IF(A288="","",Students!H288)</x:f>
      </x:c>
      <x:c r="E288" s="22" t="str">
        <x:f>IF(A288="","",COUNTIFS(Late_Transactions!E:E,A288,Late_Transactions!K:K,"Recorded"))</x:f>
      </x:c>
      <x:c r="F288" s="21" t="n">
        <x:f>IFERROR(MAXIFS(Late_Transactions!C:C,Late_Transactions!E:E,A288,Late_Transactions!K:K,"Recorded"),"")</x:f>
        <x:v>0</x:v>
      </x:c>
      <x:c r="G288" s="17" t="str">
        <x:f>IF(E288="","",IF(E288&gt;=5,"High",IF(E288&gt;=3,"Watch","OK")))</x:f>
      </x:c>
    </x:row>
    <x:row r="289">
      <x:c r="A289" s="17" t="str">
        <x:f>IF(Students!A289="","",Students!A289)</x:f>
      </x:c>
      <x:c r="B289" s="17" t="str">
        <x:f>IF(A289="","",Students!F289)</x:f>
      </x:c>
      <x:c r="C289" s="17" t="str">
        <x:f>IF(A289="","",Students!G289)</x:f>
      </x:c>
      <x:c r="D289" s="17" t="str">
        <x:f>IF(A289="","",Students!H289)</x:f>
      </x:c>
      <x:c r="E289" s="22" t="str">
        <x:f>IF(A289="","",COUNTIFS(Late_Transactions!E:E,A289,Late_Transactions!K:K,"Recorded"))</x:f>
      </x:c>
      <x:c r="F289" s="21" t="n">
        <x:f>IFERROR(MAXIFS(Late_Transactions!C:C,Late_Transactions!E:E,A289,Late_Transactions!K:K,"Recorded"),"")</x:f>
        <x:v>0</x:v>
      </x:c>
      <x:c r="G289" s="17" t="str">
        <x:f>IF(E289="","",IF(E289&gt;=5,"High",IF(E289&gt;=3,"Watch","OK")))</x:f>
      </x:c>
    </x:row>
    <x:row r="290">
      <x:c r="A290" s="17" t="str">
        <x:f>IF(Students!A290="","",Students!A290)</x:f>
      </x:c>
      <x:c r="B290" s="17" t="str">
        <x:f>IF(A290="","",Students!F290)</x:f>
      </x:c>
      <x:c r="C290" s="17" t="str">
        <x:f>IF(A290="","",Students!G290)</x:f>
      </x:c>
      <x:c r="D290" s="17" t="str">
        <x:f>IF(A290="","",Students!H290)</x:f>
      </x:c>
      <x:c r="E290" s="22" t="str">
        <x:f>IF(A290="","",COUNTIFS(Late_Transactions!E:E,A290,Late_Transactions!K:K,"Recorded"))</x:f>
      </x:c>
      <x:c r="F290" s="21" t="n">
        <x:f>IFERROR(MAXIFS(Late_Transactions!C:C,Late_Transactions!E:E,A290,Late_Transactions!K:K,"Recorded"),"")</x:f>
        <x:v>0</x:v>
      </x:c>
      <x:c r="G290" s="17" t="str">
        <x:f>IF(E290="","",IF(E290&gt;=5,"High",IF(E290&gt;=3,"Watch","OK")))</x:f>
      </x:c>
    </x:row>
    <x:row r="291">
      <x:c r="A291" s="17" t="str">
        <x:f>IF(Students!A291="","",Students!A291)</x:f>
      </x:c>
      <x:c r="B291" s="17" t="str">
        <x:f>IF(A291="","",Students!F291)</x:f>
      </x:c>
      <x:c r="C291" s="17" t="str">
        <x:f>IF(A291="","",Students!G291)</x:f>
      </x:c>
      <x:c r="D291" s="17" t="str">
        <x:f>IF(A291="","",Students!H291)</x:f>
      </x:c>
      <x:c r="E291" s="22" t="str">
        <x:f>IF(A291="","",COUNTIFS(Late_Transactions!E:E,A291,Late_Transactions!K:K,"Recorded"))</x:f>
      </x:c>
      <x:c r="F291" s="21" t="n">
        <x:f>IFERROR(MAXIFS(Late_Transactions!C:C,Late_Transactions!E:E,A291,Late_Transactions!K:K,"Recorded"),"")</x:f>
        <x:v>0</x:v>
      </x:c>
      <x:c r="G291" s="17" t="str">
        <x:f>IF(E291="","",IF(E291&gt;=5,"High",IF(E291&gt;=3,"Watch","OK")))</x:f>
      </x:c>
    </x:row>
    <x:row r="292">
      <x:c r="A292" s="17" t="str">
        <x:f>IF(Students!A292="","",Students!A292)</x:f>
      </x:c>
      <x:c r="B292" s="17" t="str">
        <x:f>IF(A292="","",Students!F292)</x:f>
      </x:c>
      <x:c r="C292" s="17" t="str">
        <x:f>IF(A292="","",Students!G292)</x:f>
      </x:c>
      <x:c r="D292" s="17" t="str">
        <x:f>IF(A292="","",Students!H292)</x:f>
      </x:c>
      <x:c r="E292" s="22" t="str">
        <x:f>IF(A292="","",COUNTIFS(Late_Transactions!E:E,A292,Late_Transactions!K:K,"Recorded"))</x:f>
      </x:c>
      <x:c r="F292" s="21" t="n">
        <x:f>IFERROR(MAXIFS(Late_Transactions!C:C,Late_Transactions!E:E,A292,Late_Transactions!K:K,"Recorded"),"")</x:f>
        <x:v>0</x:v>
      </x:c>
      <x:c r="G292" s="17" t="str">
        <x:f>IF(E292="","",IF(E292&gt;=5,"High",IF(E292&gt;=3,"Watch","OK")))</x:f>
      </x:c>
    </x:row>
    <x:row r="293">
      <x:c r="A293" s="17" t="str">
        <x:f>IF(Students!A293="","",Students!A293)</x:f>
      </x:c>
      <x:c r="B293" s="17" t="str">
        <x:f>IF(A293="","",Students!F293)</x:f>
      </x:c>
      <x:c r="C293" s="17" t="str">
        <x:f>IF(A293="","",Students!G293)</x:f>
      </x:c>
      <x:c r="D293" s="17" t="str">
        <x:f>IF(A293="","",Students!H293)</x:f>
      </x:c>
      <x:c r="E293" s="22" t="str">
        <x:f>IF(A293="","",COUNTIFS(Late_Transactions!E:E,A293,Late_Transactions!K:K,"Recorded"))</x:f>
      </x:c>
      <x:c r="F293" s="21" t="n">
        <x:f>IFERROR(MAXIFS(Late_Transactions!C:C,Late_Transactions!E:E,A293,Late_Transactions!K:K,"Recorded"),"")</x:f>
        <x:v>0</x:v>
      </x:c>
      <x:c r="G293" s="17" t="str">
        <x:f>IF(E293="","",IF(E293&gt;=5,"High",IF(E293&gt;=3,"Watch","OK")))</x:f>
      </x:c>
    </x:row>
    <x:row r="294">
      <x:c r="A294" s="17" t="str">
        <x:f>IF(Students!A294="","",Students!A294)</x:f>
      </x:c>
      <x:c r="B294" s="17" t="str">
        <x:f>IF(A294="","",Students!F294)</x:f>
      </x:c>
      <x:c r="C294" s="17" t="str">
        <x:f>IF(A294="","",Students!G294)</x:f>
      </x:c>
      <x:c r="D294" s="17" t="str">
        <x:f>IF(A294="","",Students!H294)</x:f>
      </x:c>
      <x:c r="E294" s="22" t="str">
        <x:f>IF(A294="","",COUNTIFS(Late_Transactions!E:E,A294,Late_Transactions!K:K,"Recorded"))</x:f>
      </x:c>
      <x:c r="F294" s="21" t="n">
        <x:f>IFERROR(MAXIFS(Late_Transactions!C:C,Late_Transactions!E:E,A294,Late_Transactions!K:K,"Recorded"),"")</x:f>
        <x:v>0</x:v>
      </x:c>
      <x:c r="G294" s="17" t="str">
        <x:f>IF(E294="","",IF(E294&gt;=5,"High",IF(E294&gt;=3,"Watch","OK")))</x:f>
      </x:c>
    </x:row>
    <x:row r="295">
      <x:c r="A295" s="17" t="str">
        <x:f>IF(Students!A295="","",Students!A295)</x:f>
      </x:c>
      <x:c r="B295" s="17" t="str">
        <x:f>IF(A295="","",Students!F295)</x:f>
      </x:c>
      <x:c r="C295" s="17" t="str">
        <x:f>IF(A295="","",Students!G295)</x:f>
      </x:c>
      <x:c r="D295" s="17" t="str">
        <x:f>IF(A295="","",Students!H295)</x:f>
      </x:c>
      <x:c r="E295" s="22" t="str">
        <x:f>IF(A295="","",COUNTIFS(Late_Transactions!E:E,A295,Late_Transactions!K:K,"Recorded"))</x:f>
      </x:c>
      <x:c r="F295" s="21" t="n">
        <x:f>IFERROR(MAXIFS(Late_Transactions!C:C,Late_Transactions!E:E,A295,Late_Transactions!K:K,"Recorded"),"")</x:f>
        <x:v>0</x:v>
      </x:c>
      <x:c r="G295" s="17" t="str">
        <x:f>IF(E295="","",IF(E295&gt;=5,"High",IF(E295&gt;=3,"Watch","OK")))</x:f>
      </x:c>
    </x:row>
    <x:row r="296">
      <x:c r="A296" s="17" t="str">
        <x:f>IF(Students!A296="","",Students!A296)</x:f>
      </x:c>
      <x:c r="B296" s="17" t="str">
        <x:f>IF(A296="","",Students!F296)</x:f>
      </x:c>
      <x:c r="C296" s="17" t="str">
        <x:f>IF(A296="","",Students!G296)</x:f>
      </x:c>
      <x:c r="D296" s="17" t="str">
        <x:f>IF(A296="","",Students!H296)</x:f>
      </x:c>
      <x:c r="E296" s="22" t="str">
        <x:f>IF(A296="","",COUNTIFS(Late_Transactions!E:E,A296,Late_Transactions!K:K,"Recorded"))</x:f>
      </x:c>
      <x:c r="F296" s="21" t="n">
        <x:f>IFERROR(MAXIFS(Late_Transactions!C:C,Late_Transactions!E:E,A296,Late_Transactions!K:K,"Recorded"),"")</x:f>
        <x:v>0</x:v>
      </x:c>
      <x:c r="G296" s="17" t="str">
        <x:f>IF(E296="","",IF(E296&gt;=5,"High",IF(E296&gt;=3,"Watch","OK")))</x:f>
      </x:c>
    </x:row>
    <x:row r="297">
      <x:c r="A297" s="17" t="str">
        <x:f>IF(Students!A297="","",Students!A297)</x:f>
      </x:c>
      <x:c r="B297" s="17" t="str">
        <x:f>IF(A297="","",Students!F297)</x:f>
      </x:c>
      <x:c r="C297" s="17" t="str">
        <x:f>IF(A297="","",Students!G297)</x:f>
      </x:c>
      <x:c r="D297" s="17" t="str">
        <x:f>IF(A297="","",Students!H297)</x:f>
      </x:c>
      <x:c r="E297" s="22" t="str">
        <x:f>IF(A297="","",COUNTIFS(Late_Transactions!E:E,A297,Late_Transactions!K:K,"Recorded"))</x:f>
      </x:c>
      <x:c r="F297" s="21" t="n">
        <x:f>IFERROR(MAXIFS(Late_Transactions!C:C,Late_Transactions!E:E,A297,Late_Transactions!K:K,"Recorded"),"")</x:f>
        <x:v>0</x:v>
      </x:c>
      <x:c r="G297" s="17" t="str">
        <x:f>IF(E297="","",IF(E297&gt;=5,"High",IF(E297&gt;=3,"Watch","OK")))</x:f>
      </x:c>
    </x:row>
    <x:row r="298">
      <x:c r="A298" s="17" t="str">
        <x:f>IF(Students!A298="","",Students!A298)</x:f>
      </x:c>
      <x:c r="B298" s="17" t="str">
        <x:f>IF(A298="","",Students!F298)</x:f>
      </x:c>
      <x:c r="C298" s="17" t="str">
        <x:f>IF(A298="","",Students!G298)</x:f>
      </x:c>
      <x:c r="D298" s="17" t="str">
        <x:f>IF(A298="","",Students!H298)</x:f>
      </x:c>
      <x:c r="E298" s="22" t="str">
        <x:f>IF(A298="","",COUNTIFS(Late_Transactions!E:E,A298,Late_Transactions!K:K,"Recorded"))</x:f>
      </x:c>
      <x:c r="F298" s="21" t="n">
        <x:f>IFERROR(MAXIFS(Late_Transactions!C:C,Late_Transactions!E:E,A298,Late_Transactions!K:K,"Recorded"),"")</x:f>
        <x:v>0</x:v>
      </x:c>
      <x:c r="G298" s="17" t="str">
        <x:f>IF(E298="","",IF(E298&gt;=5,"High",IF(E298&gt;=3,"Watch","OK")))</x:f>
      </x:c>
    </x:row>
    <x:row r="299">
      <x:c r="A299" s="17" t="str">
        <x:f>IF(Students!A299="","",Students!A299)</x:f>
      </x:c>
      <x:c r="B299" s="17" t="str">
        <x:f>IF(A299="","",Students!F299)</x:f>
      </x:c>
      <x:c r="C299" s="17" t="str">
        <x:f>IF(A299="","",Students!G299)</x:f>
      </x:c>
      <x:c r="D299" s="17" t="str">
        <x:f>IF(A299="","",Students!H299)</x:f>
      </x:c>
      <x:c r="E299" s="22" t="str">
        <x:f>IF(A299="","",COUNTIFS(Late_Transactions!E:E,A299,Late_Transactions!K:K,"Recorded"))</x:f>
      </x:c>
      <x:c r="F299" s="21" t="n">
        <x:f>IFERROR(MAXIFS(Late_Transactions!C:C,Late_Transactions!E:E,A299,Late_Transactions!K:K,"Recorded"),"")</x:f>
        <x:v>0</x:v>
      </x:c>
      <x:c r="G299" s="17" t="str">
        <x:f>IF(E299="","",IF(E299&gt;=5,"High",IF(E299&gt;=3,"Watch","OK")))</x:f>
      </x:c>
    </x:row>
    <x:row r="300">
      <x:c r="A300" s="17" t="str">
        <x:f>IF(Students!A300="","",Students!A300)</x:f>
      </x:c>
      <x:c r="B300" s="17" t="str">
        <x:f>IF(A300="","",Students!F300)</x:f>
      </x:c>
      <x:c r="C300" s="17" t="str">
        <x:f>IF(A300="","",Students!G300)</x:f>
      </x:c>
      <x:c r="D300" s="17" t="str">
        <x:f>IF(A300="","",Students!H300)</x:f>
      </x:c>
      <x:c r="E300" s="22" t="str">
        <x:f>IF(A300="","",COUNTIFS(Late_Transactions!E:E,A300,Late_Transactions!K:K,"Recorded"))</x:f>
      </x:c>
      <x:c r="F300" s="21" t="n">
        <x:f>IFERROR(MAXIFS(Late_Transactions!C:C,Late_Transactions!E:E,A300,Late_Transactions!K:K,"Recorded"),"")</x:f>
        <x:v>0</x:v>
      </x:c>
      <x:c r="G300" s="17" t="str">
        <x:f>IF(E300="","",IF(E300&gt;=5,"High",IF(E300&gt;=3,"Watch","OK")))</x:f>
      </x:c>
    </x:row>
    <x:row r="301">
      <x:c r="A301" s="17" t="str">
        <x:f>IF(Students!A301="","",Students!A301)</x:f>
      </x:c>
      <x:c r="B301" s="17" t="str">
        <x:f>IF(A301="","",Students!F301)</x:f>
      </x:c>
      <x:c r="C301" s="17" t="str">
        <x:f>IF(A301="","",Students!G301)</x:f>
      </x:c>
      <x:c r="D301" s="17" t="str">
        <x:f>IF(A301="","",Students!H301)</x:f>
      </x:c>
      <x:c r="E301" s="22" t="str">
        <x:f>IF(A301="","",COUNTIFS(Late_Transactions!E:E,A301,Late_Transactions!K:K,"Recorded"))</x:f>
      </x:c>
      <x:c r="F301" s="21" t="n">
        <x:f>IFERROR(MAXIFS(Late_Transactions!C:C,Late_Transactions!E:E,A301,Late_Transactions!K:K,"Recorded"),"")</x:f>
        <x:v>0</x:v>
      </x:c>
      <x:c r="G301" s="17" t="str">
        <x:f>IF(E301="","",IF(E301&gt;=5,"High",IF(E301&gt;=3,"Watch","OK")))</x:f>
      </x:c>
    </x:row>
    <x:row r="302">
      <x:c r="A302" s="17" t="str">
        <x:f>IF(Students!A302="","",Students!A302)</x:f>
      </x:c>
      <x:c r="B302" s="17" t="str">
        <x:f>IF(A302="","",Students!F302)</x:f>
      </x:c>
      <x:c r="C302" s="17" t="str">
        <x:f>IF(A302="","",Students!G302)</x:f>
      </x:c>
      <x:c r="D302" s="17" t="str">
        <x:f>IF(A302="","",Students!H302)</x:f>
      </x:c>
      <x:c r="E302" s="22" t="str">
        <x:f>IF(A302="","",COUNTIFS(Late_Transactions!E:E,A302,Late_Transactions!K:K,"Recorded"))</x:f>
      </x:c>
      <x:c r="F302" s="21" t="n">
        <x:f>IFERROR(MAXIFS(Late_Transactions!C:C,Late_Transactions!E:E,A302,Late_Transactions!K:K,"Recorded"),"")</x:f>
        <x:v>0</x:v>
      </x:c>
      <x:c r="G302" s="17" t="str">
        <x:f>IF(E302="","",IF(E302&gt;=5,"High",IF(E302&gt;=3,"Watch","OK")))</x:f>
      </x:c>
    </x:row>
    <x:row r="303">
      <x:c r="A303" s="17" t="str">
        <x:f>IF(Students!A303="","",Students!A303)</x:f>
      </x:c>
      <x:c r="B303" s="17" t="str">
        <x:f>IF(A303="","",Students!F303)</x:f>
      </x:c>
      <x:c r="C303" s="17" t="str">
        <x:f>IF(A303="","",Students!G303)</x:f>
      </x:c>
      <x:c r="D303" s="17" t="str">
        <x:f>IF(A303="","",Students!H303)</x:f>
      </x:c>
      <x:c r="E303" s="22" t="str">
        <x:f>IF(A303="","",COUNTIFS(Late_Transactions!E:E,A303,Late_Transactions!K:K,"Recorded"))</x:f>
      </x:c>
      <x:c r="F303" s="21" t="n">
        <x:f>IFERROR(MAXIFS(Late_Transactions!C:C,Late_Transactions!E:E,A303,Late_Transactions!K:K,"Recorded"),"")</x:f>
        <x:v>0</x:v>
      </x:c>
      <x:c r="G303" s="17" t="str">
        <x:f>IF(E303="","",IF(E303&gt;=5,"High",IF(E303&gt;=3,"Watch","OK")))</x:f>
      </x:c>
    </x:row>
    <x:row r="304">
      <x:c r="A304" s="17" t="str">
        <x:f>IF(Students!A304="","",Students!A304)</x:f>
      </x:c>
      <x:c r="B304" s="17" t="str">
        <x:f>IF(A304="","",Students!F304)</x:f>
      </x:c>
      <x:c r="C304" s="17" t="str">
        <x:f>IF(A304="","",Students!G304)</x:f>
      </x:c>
      <x:c r="D304" s="17" t="str">
        <x:f>IF(A304="","",Students!H304)</x:f>
      </x:c>
      <x:c r="E304" s="22" t="str">
        <x:f>IF(A304="","",COUNTIFS(Late_Transactions!E:E,A304,Late_Transactions!K:K,"Recorded"))</x:f>
      </x:c>
      <x:c r="F304" s="21" t="n">
        <x:f>IFERROR(MAXIFS(Late_Transactions!C:C,Late_Transactions!E:E,A304,Late_Transactions!K:K,"Recorded"),"")</x:f>
        <x:v>0</x:v>
      </x:c>
      <x:c r="G304" s="17" t="str">
        <x:f>IF(E304="","",IF(E304&gt;=5,"High",IF(E304&gt;=3,"Watch","OK")))</x:f>
      </x:c>
    </x:row>
    <x:row r="305">
      <x:c r="A305" s="17" t="str">
        <x:f>IF(Students!A305="","",Students!A305)</x:f>
      </x:c>
      <x:c r="B305" s="17" t="str">
        <x:f>IF(A305="","",Students!F305)</x:f>
      </x:c>
      <x:c r="C305" s="17" t="str">
        <x:f>IF(A305="","",Students!G305)</x:f>
      </x:c>
      <x:c r="D305" s="17" t="str">
        <x:f>IF(A305="","",Students!H305)</x:f>
      </x:c>
      <x:c r="E305" s="22" t="str">
        <x:f>IF(A305="","",COUNTIFS(Late_Transactions!E:E,A305,Late_Transactions!K:K,"Recorded"))</x:f>
      </x:c>
      <x:c r="F305" s="21" t="n">
        <x:f>IFERROR(MAXIFS(Late_Transactions!C:C,Late_Transactions!E:E,A305,Late_Transactions!K:K,"Recorded"),"")</x:f>
        <x:v>0</x:v>
      </x:c>
      <x:c r="G305" s="17" t="str">
        <x:f>IF(E305="","",IF(E305&gt;=5,"High",IF(E305&gt;=3,"Watch","OK")))</x:f>
      </x:c>
    </x:row>
    <x:row r="306">
      <x:c r="A306" s="17" t="str">
        <x:f>IF(Students!A306="","",Students!A306)</x:f>
      </x:c>
      <x:c r="B306" s="17" t="str">
        <x:f>IF(A306="","",Students!F306)</x:f>
      </x:c>
      <x:c r="C306" s="17" t="str">
        <x:f>IF(A306="","",Students!G306)</x:f>
      </x:c>
      <x:c r="D306" s="17" t="str">
        <x:f>IF(A306="","",Students!H306)</x:f>
      </x:c>
      <x:c r="E306" s="22" t="str">
        <x:f>IF(A306="","",COUNTIFS(Late_Transactions!E:E,A306,Late_Transactions!K:K,"Recorded"))</x:f>
      </x:c>
      <x:c r="F306" s="21" t="n">
        <x:f>IFERROR(MAXIFS(Late_Transactions!C:C,Late_Transactions!E:E,A306,Late_Transactions!K:K,"Recorded"),"")</x:f>
        <x:v>0</x:v>
      </x:c>
      <x:c r="G306" s="17" t="str">
        <x:f>IF(E306="","",IF(E306&gt;=5,"High",IF(E306&gt;=3,"Watch","OK")))</x:f>
      </x:c>
    </x:row>
    <x:row r="307">
      <x:c r="A307" s="17" t="str">
        <x:f>IF(Students!A307="","",Students!A307)</x:f>
      </x:c>
      <x:c r="B307" s="17" t="str">
        <x:f>IF(A307="","",Students!F307)</x:f>
      </x:c>
      <x:c r="C307" s="17" t="str">
        <x:f>IF(A307="","",Students!G307)</x:f>
      </x:c>
      <x:c r="D307" s="17" t="str">
        <x:f>IF(A307="","",Students!H307)</x:f>
      </x:c>
      <x:c r="E307" s="22" t="str">
        <x:f>IF(A307="","",COUNTIFS(Late_Transactions!E:E,A307,Late_Transactions!K:K,"Recorded"))</x:f>
      </x:c>
      <x:c r="F307" s="21" t="n">
        <x:f>IFERROR(MAXIFS(Late_Transactions!C:C,Late_Transactions!E:E,A307,Late_Transactions!K:K,"Recorded"),"")</x:f>
        <x:v>0</x:v>
      </x:c>
      <x:c r="G307" s="17" t="str">
        <x:f>IF(E307="","",IF(E307&gt;=5,"High",IF(E307&gt;=3,"Watch","OK")))</x:f>
      </x:c>
    </x:row>
    <x:row r="308">
      <x:c r="A308" s="17" t="str">
        <x:f>IF(Students!A308="","",Students!A308)</x:f>
      </x:c>
      <x:c r="B308" s="17" t="str">
        <x:f>IF(A308="","",Students!F308)</x:f>
      </x:c>
      <x:c r="C308" s="17" t="str">
        <x:f>IF(A308="","",Students!G308)</x:f>
      </x:c>
      <x:c r="D308" s="17" t="str">
        <x:f>IF(A308="","",Students!H308)</x:f>
      </x:c>
      <x:c r="E308" s="22" t="str">
        <x:f>IF(A308="","",COUNTIFS(Late_Transactions!E:E,A308,Late_Transactions!K:K,"Recorded"))</x:f>
      </x:c>
      <x:c r="F308" s="21" t="n">
        <x:f>IFERROR(MAXIFS(Late_Transactions!C:C,Late_Transactions!E:E,A308,Late_Transactions!K:K,"Recorded"),"")</x:f>
        <x:v>0</x:v>
      </x:c>
      <x:c r="G308" s="17" t="str">
        <x:f>IF(E308="","",IF(E308&gt;=5,"High",IF(E308&gt;=3,"Watch","OK")))</x:f>
      </x:c>
    </x:row>
    <x:row r="309">
      <x:c r="A309" s="17" t="str">
        <x:f>IF(Students!A309="","",Students!A309)</x:f>
      </x:c>
      <x:c r="B309" s="17" t="str">
        <x:f>IF(A309="","",Students!F309)</x:f>
      </x:c>
      <x:c r="C309" s="17" t="str">
        <x:f>IF(A309="","",Students!G309)</x:f>
      </x:c>
      <x:c r="D309" s="17" t="str">
        <x:f>IF(A309="","",Students!H309)</x:f>
      </x:c>
      <x:c r="E309" s="22" t="str">
        <x:f>IF(A309="","",COUNTIFS(Late_Transactions!E:E,A309,Late_Transactions!K:K,"Recorded"))</x:f>
      </x:c>
      <x:c r="F309" s="21" t="n">
        <x:f>IFERROR(MAXIFS(Late_Transactions!C:C,Late_Transactions!E:E,A309,Late_Transactions!K:K,"Recorded"),"")</x:f>
        <x:v>0</x:v>
      </x:c>
      <x:c r="G309" s="17" t="str">
        <x:f>IF(E309="","",IF(E309&gt;=5,"High",IF(E309&gt;=3,"Watch","OK")))</x:f>
      </x:c>
    </x:row>
    <x:row r="310">
      <x:c r="A310" s="17" t="str">
        <x:f>IF(Students!A310="","",Students!A310)</x:f>
      </x:c>
      <x:c r="B310" s="17" t="str">
        <x:f>IF(A310="","",Students!F310)</x:f>
      </x:c>
      <x:c r="C310" s="17" t="str">
        <x:f>IF(A310="","",Students!G310)</x:f>
      </x:c>
      <x:c r="D310" s="17" t="str">
        <x:f>IF(A310="","",Students!H310)</x:f>
      </x:c>
      <x:c r="E310" s="22" t="str">
        <x:f>IF(A310="","",COUNTIFS(Late_Transactions!E:E,A310,Late_Transactions!K:K,"Recorded"))</x:f>
      </x:c>
      <x:c r="F310" s="21" t="n">
        <x:f>IFERROR(MAXIFS(Late_Transactions!C:C,Late_Transactions!E:E,A310,Late_Transactions!K:K,"Recorded"),"")</x:f>
        <x:v>0</x:v>
      </x:c>
      <x:c r="G310" s="17" t="str">
        <x:f>IF(E310="","",IF(E310&gt;=5,"High",IF(E310&gt;=3,"Watch","OK")))</x:f>
      </x:c>
    </x:row>
    <x:row r="311">
      <x:c r="A311" s="17" t="str">
        <x:f>IF(Students!A311="","",Students!A311)</x:f>
      </x:c>
      <x:c r="B311" s="17" t="str">
        <x:f>IF(A311="","",Students!F311)</x:f>
      </x:c>
      <x:c r="C311" s="17" t="str">
        <x:f>IF(A311="","",Students!G311)</x:f>
      </x:c>
      <x:c r="D311" s="17" t="str">
        <x:f>IF(A311="","",Students!H311)</x:f>
      </x:c>
      <x:c r="E311" s="22" t="str">
        <x:f>IF(A311="","",COUNTIFS(Late_Transactions!E:E,A311,Late_Transactions!K:K,"Recorded"))</x:f>
      </x:c>
      <x:c r="F311" s="21" t="n">
        <x:f>IFERROR(MAXIFS(Late_Transactions!C:C,Late_Transactions!E:E,A311,Late_Transactions!K:K,"Recorded"),"")</x:f>
        <x:v>0</x:v>
      </x:c>
      <x:c r="G311" s="17" t="str">
        <x:f>IF(E311="","",IF(E311&gt;=5,"High",IF(E311&gt;=3,"Watch","OK")))</x:f>
      </x:c>
    </x:row>
    <x:row r="312">
      <x:c r="A312" s="17" t="str">
        <x:f>IF(Students!A312="","",Students!A312)</x:f>
      </x:c>
      <x:c r="B312" s="17" t="str">
        <x:f>IF(A312="","",Students!F312)</x:f>
      </x:c>
      <x:c r="C312" s="17" t="str">
        <x:f>IF(A312="","",Students!G312)</x:f>
      </x:c>
      <x:c r="D312" s="17" t="str">
        <x:f>IF(A312="","",Students!H312)</x:f>
      </x:c>
      <x:c r="E312" s="22" t="str">
        <x:f>IF(A312="","",COUNTIFS(Late_Transactions!E:E,A312,Late_Transactions!K:K,"Recorded"))</x:f>
      </x:c>
      <x:c r="F312" s="21" t="n">
        <x:f>IFERROR(MAXIFS(Late_Transactions!C:C,Late_Transactions!E:E,A312,Late_Transactions!K:K,"Recorded"),"")</x:f>
        <x:v>0</x:v>
      </x:c>
      <x:c r="G312" s="17" t="str">
        <x:f>IF(E312="","",IF(E312&gt;=5,"High",IF(E312&gt;=3,"Watch","OK")))</x:f>
      </x:c>
    </x:row>
    <x:row r="313">
      <x:c r="A313" s="17" t="str">
        <x:f>IF(Students!A313="","",Students!A313)</x:f>
      </x:c>
      <x:c r="B313" s="17" t="str">
        <x:f>IF(A313="","",Students!F313)</x:f>
      </x:c>
      <x:c r="C313" s="17" t="str">
        <x:f>IF(A313="","",Students!G313)</x:f>
      </x:c>
      <x:c r="D313" s="17" t="str">
        <x:f>IF(A313="","",Students!H313)</x:f>
      </x:c>
      <x:c r="E313" s="22" t="str">
        <x:f>IF(A313="","",COUNTIFS(Late_Transactions!E:E,A313,Late_Transactions!K:K,"Recorded"))</x:f>
      </x:c>
      <x:c r="F313" s="21" t="n">
        <x:f>IFERROR(MAXIFS(Late_Transactions!C:C,Late_Transactions!E:E,A313,Late_Transactions!K:K,"Recorded"),"")</x:f>
        <x:v>0</x:v>
      </x:c>
      <x:c r="G313" s="17" t="str">
        <x:f>IF(E313="","",IF(E313&gt;=5,"High",IF(E313&gt;=3,"Watch","OK")))</x:f>
      </x:c>
    </x:row>
    <x:row r="314">
      <x:c r="A314" s="17" t="str">
        <x:f>IF(Students!A314="","",Students!A314)</x:f>
      </x:c>
      <x:c r="B314" s="17" t="str">
        <x:f>IF(A314="","",Students!F314)</x:f>
      </x:c>
      <x:c r="C314" s="17" t="str">
        <x:f>IF(A314="","",Students!G314)</x:f>
      </x:c>
      <x:c r="D314" s="17" t="str">
        <x:f>IF(A314="","",Students!H314)</x:f>
      </x:c>
      <x:c r="E314" s="22" t="str">
        <x:f>IF(A314="","",COUNTIFS(Late_Transactions!E:E,A314,Late_Transactions!K:K,"Recorded"))</x:f>
      </x:c>
      <x:c r="F314" s="21" t="n">
        <x:f>IFERROR(MAXIFS(Late_Transactions!C:C,Late_Transactions!E:E,A314,Late_Transactions!K:K,"Recorded"),"")</x:f>
        <x:v>0</x:v>
      </x:c>
      <x:c r="G314" s="17" t="str">
        <x:f>IF(E314="","",IF(E314&gt;=5,"High",IF(E314&gt;=3,"Watch","OK")))</x:f>
      </x:c>
    </x:row>
    <x:row r="315">
      <x:c r="A315" s="17" t="str">
        <x:f>IF(Students!A315="","",Students!A315)</x:f>
      </x:c>
      <x:c r="B315" s="17" t="str">
        <x:f>IF(A315="","",Students!F315)</x:f>
      </x:c>
      <x:c r="C315" s="17" t="str">
        <x:f>IF(A315="","",Students!G315)</x:f>
      </x:c>
      <x:c r="D315" s="17" t="str">
        <x:f>IF(A315="","",Students!H315)</x:f>
      </x:c>
      <x:c r="E315" s="22" t="str">
        <x:f>IF(A315="","",COUNTIFS(Late_Transactions!E:E,A315,Late_Transactions!K:K,"Recorded"))</x:f>
      </x:c>
      <x:c r="F315" s="21" t="n">
        <x:f>IFERROR(MAXIFS(Late_Transactions!C:C,Late_Transactions!E:E,A315,Late_Transactions!K:K,"Recorded"),"")</x:f>
        <x:v>0</x:v>
      </x:c>
      <x:c r="G315" s="17" t="str">
        <x:f>IF(E315="","",IF(E315&gt;=5,"High",IF(E315&gt;=3,"Watch","OK")))</x:f>
      </x:c>
    </x:row>
    <x:row r="316">
      <x:c r="A316" s="17" t="str">
        <x:f>IF(Students!A316="","",Students!A316)</x:f>
      </x:c>
      <x:c r="B316" s="17" t="str">
        <x:f>IF(A316="","",Students!F316)</x:f>
      </x:c>
      <x:c r="C316" s="17" t="str">
        <x:f>IF(A316="","",Students!G316)</x:f>
      </x:c>
      <x:c r="D316" s="17" t="str">
        <x:f>IF(A316="","",Students!H316)</x:f>
      </x:c>
      <x:c r="E316" s="22" t="str">
        <x:f>IF(A316="","",COUNTIFS(Late_Transactions!E:E,A316,Late_Transactions!K:K,"Recorded"))</x:f>
      </x:c>
      <x:c r="F316" s="21" t="n">
        <x:f>IFERROR(MAXIFS(Late_Transactions!C:C,Late_Transactions!E:E,A316,Late_Transactions!K:K,"Recorded"),"")</x:f>
        <x:v>0</x:v>
      </x:c>
      <x:c r="G316" s="17" t="str">
        <x:f>IF(E316="","",IF(E316&gt;=5,"High",IF(E316&gt;=3,"Watch","OK")))</x:f>
      </x:c>
    </x:row>
    <x:row r="317">
      <x:c r="A317" s="17" t="str">
        <x:f>IF(Students!A317="","",Students!A317)</x:f>
      </x:c>
      <x:c r="B317" s="17" t="str">
        <x:f>IF(A317="","",Students!F317)</x:f>
      </x:c>
      <x:c r="C317" s="17" t="str">
        <x:f>IF(A317="","",Students!G317)</x:f>
      </x:c>
      <x:c r="D317" s="17" t="str">
        <x:f>IF(A317="","",Students!H317)</x:f>
      </x:c>
      <x:c r="E317" s="22" t="str">
        <x:f>IF(A317="","",COUNTIFS(Late_Transactions!E:E,A317,Late_Transactions!K:K,"Recorded"))</x:f>
      </x:c>
      <x:c r="F317" s="21" t="n">
        <x:f>IFERROR(MAXIFS(Late_Transactions!C:C,Late_Transactions!E:E,A317,Late_Transactions!K:K,"Recorded"),"")</x:f>
        <x:v>0</x:v>
      </x:c>
      <x:c r="G317" s="17" t="str">
        <x:f>IF(E317="","",IF(E317&gt;=5,"High",IF(E317&gt;=3,"Watch","OK")))</x:f>
      </x:c>
    </x:row>
    <x:row r="318">
      <x:c r="A318" s="17" t="str">
        <x:f>IF(Students!A318="","",Students!A318)</x:f>
      </x:c>
      <x:c r="B318" s="17" t="str">
        <x:f>IF(A318="","",Students!F318)</x:f>
      </x:c>
      <x:c r="C318" s="17" t="str">
        <x:f>IF(A318="","",Students!G318)</x:f>
      </x:c>
      <x:c r="D318" s="17" t="str">
        <x:f>IF(A318="","",Students!H318)</x:f>
      </x:c>
      <x:c r="E318" s="22" t="str">
        <x:f>IF(A318="","",COUNTIFS(Late_Transactions!E:E,A318,Late_Transactions!K:K,"Recorded"))</x:f>
      </x:c>
      <x:c r="F318" s="21" t="n">
        <x:f>IFERROR(MAXIFS(Late_Transactions!C:C,Late_Transactions!E:E,A318,Late_Transactions!K:K,"Recorded"),"")</x:f>
        <x:v>0</x:v>
      </x:c>
      <x:c r="G318" s="17" t="str">
        <x:f>IF(E318="","",IF(E318&gt;=5,"High",IF(E318&gt;=3,"Watch","OK")))</x:f>
      </x:c>
    </x:row>
    <x:row r="319">
      <x:c r="A319" s="17" t="str">
        <x:f>IF(Students!A319="","",Students!A319)</x:f>
      </x:c>
      <x:c r="B319" s="17" t="str">
        <x:f>IF(A319="","",Students!F319)</x:f>
      </x:c>
      <x:c r="C319" s="17" t="str">
        <x:f>IF(A319="","",Students!G319)</x:f>
      </x:c>
      <x:c r="D319" s="17" t="str">
        <x:f>IF(A319="","",Students!H319)</x:f>
      </x:c>
      <x:c r="E319" s="22" t="str">
        <x:f>IF(A319="","",COUNTIFS(Late_Transactions!E:E,A319,Late_Transactions!K:K,"Recorded"))</x:f>
      </x:c>
      <x:c r="F319" s="21" t="n">
        <x:f>IFERROR(MAXIFS(Late_Transactions!C:C,Late_Transactions!E:E,A319,Late_Transactions!K:K,"Recorded"),"")</x:f>
        <x:v>0</x:v>
      </x:c>
      <x:c r="G319" s="17" t="str">
        <x:f>IF(E319="","",IF(E319&gt;=5,"High",IF(E319&gt;=3,"Watch","OK")))</x:f>
      </x:c>
    </x:row>
    <x:row r="320">
      <x:c r="A320" s="17" t="str">
        <x:f>IF(Students!A320="","",Students!A320)</x:f>
      </x:c>
      <x:c r="B320" s="17" t="str">
        <x:f>IF(A320="","",Students!F320)</x:f>
      </x:c>
      <x:c r="C320" s="17" t="str">
        <x:f>IF(A320="","",Students!G320)</x:f>
      </x:c>
      <x:c r="D320" s="17" t="str">
        <x:f>IF(A320="","",Students!H320)</x:f>
      </x:c>
      <x:c r="E320" s="22" t="str">
        <x:f>IF(A320="","",COUNTIFS(Late_Transactions!E:E,A320,Late_Transactions!K:K,"Recorded"))</x:f>
      </x:c>
      <x:c r="F320" s="21" t="n">
        <x:f>IFERROR(MAXIFS(Late_Transactions!C:C,Late_Transactions!E:E,A320,Late_Transactions!K:K,"Recorded"),"")</x:f>
        <x:v>0</x:v>
      </x:c>
      <x:c r="G320" s="17" t="str">
        <x:f>IF(E320="","",IF(E320&gt;=5,"High",IF(E320&gt;=3,"Watch","OK")))</x:f>
      </x:c>
    </x:row>
    <x:row r="321">
      <x:c r="A321" s="17" t="str">
        <x:f>IF(Students!A321="","",Students!A321)</x:f>
      </x:c>
      <x:c r="B321" s="17" t="str">
        <x:f>IF(A321="","",Students!F321)</x:f>
      </x:c>
      <x:c r="C321" s="17" t="str">
        <x:f>IF(A321="","",Students!G321)</x:f>
      </x:c>
      <x:c r="D321" s="17" t="str">
        <x:f>IF(A321="","",Students!H321)</x:f>
      </x:c>
      <x:c r="E321" s="22" t="str">
        <x:f>IF(A321="","",COUNTIFS(Late_Transactions!E:E,A321,Late_Transactions!K:K,"Recorded"))</x:f>
      </x:c>
      <x:c r="F321" s="21" t="n">
        <x:f>IFERROR(MAXIFS(Late_Transactions!C:C,Late_Transactions!E:E,A321,Late_Transactions!K:K,"Recorded"),"")</x:f>
        <x:v>0</x:v>
      </x:c>
      <x:c r="G321" s="17" t="str">
        <x:f>IF(E321="","",IF(E321&gt;=5,"High",IF(E321&gt;=3,"Watch","OK")))</x:f>
      </x:c>
    </x:row>
    <x:row r="322">
      <x:c r="A322" s="17" t="str">
        <x:f>IF(Students!A322="","",Students!A322)</x:f>
      </x:c>
      <x:c r="B322" s="17" t="str">
        <x:f>IF(A322="","",Students!F322)</x:f>
      </x:c>
      <x:c r="C322" s="17" t="str">
        <x:f>IF(A322="","",Students!G322)</x:f>
      </x:c>
      <x:c r="D322" s="17" t="str">
        <x:f>IF(A322="","",Students!H322)</x:f>
      </x:c>
      <x:c r="E322" s="22" t="str">
        <x:f>IF(A322="","",COUNTIFS(Late_Transactions!E:E,A322,Late_Transactions!K:K,"Recorded"))</x:f>
      </x:c>
      <x:c r="F322" s="21" t="n">
        <x:f>IFERROR(MAXIFS(Late_Transactions!C:C,Late_Transactions!E:E,A322,Late_Transactions!K:K,"Recorded"),"")</x:f>
        <x:v>0</x:v>
      </x:c>
      <x:c r="G322" s="17" t="str">
        <x:f>IF(E322="","",IF(E322&gt;=5,"High",IF(E322&gt;=3,"Watch","OK")))</x:f>
      </x:c>
    </x:row>
    <x:row r="323">
      <x:c r="A323" s="17" t="str">
        <x:f>IF(Students!A323="","",Students!A323)</x:f>
      </x:c>
      <x:c r="B323" s="17" t="str">
        <x:f>IF(A323="","",Students!F323)</x:f>
      </x:c>
      <x:c r="C323" s="17" t="str">
        <x:f>IF(A323="","",Students!G323)</x:f>
      </x:c>
      <x:c r="D323" s="17" t="str">
        <x:f>IF(A323="","",Students!H323)</x:f>
      </x:c>
      <x:c r="E323" s="22" t="str">
        <x:f>IF(A323="","",COUNTIFS(Late_Transactions!E:E,A323,Late_Transactions!K:K,"Recorded"))</x:f>
      </x:c>
      <x:c r="F323" s="21" t="n">
        <x:f>IFERROR(MAXIFS(Late_Transactions!C:C,Late_Transactions!E:E,A323,Late_Transactions!K:K,"Recorded"),"")</x:f>
        <x:v>0</x:v>
      </x:c>
      <x:c r="G323" s="17" t="str">
        <x:f>IF(E323="","",IF(E323&gt;=5,"High",IF(E323&gt;=3,"Watch","OK")))</x:f>
      </x:c>
    </x:row>
    <x:row r="324">
      <x:c r="A324" s="17" t="str">
        <x:f>IF(Students!A324="","",Students!A324)</x:f>
      </x:c>
      <x:c r="B324" s="17" t="str">
        <x:f>IF(A324="","",Students!F324)</x:f>
      </x:c>
      <x:c r="C324" s="17" t="str">
        <x:f>IF(A324="","",Students!G324)</x:f>
      </x:c>
      <x:c r="D324" s="17" t="str">
        <x:f>IF(A324="","",Students!H324)</x:f>
      </x:c>
      <x:c r="E324" s="22" t="str">
        <x:f>IF(A324="","",COUNTIFS(Late_Transactions!E:E,A324,Late_Transactions!K:K,"Recorded"))</x:f>
      </x:c>
      <x:c r="F324" s="21" t="n">
        <x:f>IFERROR(MAXIFS(Late_Transactions!C:C,Late_Transactions!E:E,A324,Late_Transactions!K:K,"Recorded"),"")</x:f>
        <x:v>0</x:v>
      </x:c>
      <x:c r="G324" s="17" t="str">
        <x:f>IF(E324="","",IF(E324&gt;=5,"High",IF(E324&gt;=3,"Watch","OK")))</x:f>
      </x:c>
    </x:row>
    <x:row r="325">
      <x:c r="A325" s="17" t="str">
        <x:f>IF(Students!A325="","",Students!A325)</x:f>
      </x:c>
      <x:c r="B325" s="17" t="str">
        <x:f>IF(A325="","",Students!F325)</x:f>
      </x:c>
      <x:c r="C325" s="17" t="str">
        <x:f>IF(A325="","",Students!G325)</x:f>
      </x:c>
      <x:c r="D325" s="17" t="str">
        <x:f>IF(A325="","",Students!H325)</x:f>
      </x:c>
      <x:c r="E325" s="22" t="str">
        <x:f>IF(A325="","",COUNTIFS(Late_Transactions!E:E,A325,Late_Transactions!K:K,"Recorded"))</x:f>
      </x:c>
      <x:c r="F325" s="21" t="n">
        <x:f>IFERROR(MAXIFS(Late_Transactions!C:C,Late_Transactions!E:E,A325,Late_Transactions!K:K,"Recorded"),"")</x:f>
        <x:v>0</x:v>
      </x:c>
      <x:c r="G325" s="17" t="str">
        <x:f>IF(E325="","",IF(E325&gt;=5,"High",IF(E325&gt;=3,"Watch","OK")))</x:f>
      </x:c>
    </x:row>
    <x:row r="326">
      <x:c r="A326" s="17" t="str">
        <x:f>IF(Students!A326="","",Students!A326)</x:f>
      </x:c>
      <x:c r="B326" s="17" t="str">
        <x:f>IF(A326="","",Students!F326)</x:f>
      </x:c>
      <x:c r="C326" s="17" t="str">
        <x:f>IF(A326="","",Students!G326)</x:f>
      </x:c>
      <x:c r="D326" s="17" t="str">
        <x:f>IF(A326="","",Students!H326)</x:f>
      </x:c>
      <x:c r="E326" s="22" t="str">
        <x:f>IF(A326="","",COUNTIFS(Late_Transactions!E:E,A326,Late_Transactions!K:K,"Recorded"))</x:f>
      </x:c>
      <x:c r="F326" s="21" t="n">
        <x:f>IFERROR(MAXIFS(Late_Transactions!C:C,Late_Transactions!E:E,A326,Late_Transactions!K:K,"Recorded"),"")</x:f>
        <x:v>0</x:v>
      </x:c>
      <x:c r="G326" s="17" t="str">
        <x:f>IF(E326="","",IF(E326&gt;=5,"High",IF(E326&gt;=3,"Watch","OK")))</x:f>
      </x:c>
    </x:row>
    <x:row r="327">
      <x:c r="A327" s="17" t="str">
        <x:f>IF(Students!A327="","",Students!A327)</x:f>
      </x:c>
      <x:c r="B327" s="17" t="str">
        <x:f>IF(A327="","",Students!F327)</x:f>
      </x:c>
      <x:c r="C327" s="17" t="str">
        <x:f>IF(A327="","",Students!G327)</x:f>
      </x:c>
      <x:c r="D327" s="17" t="str">
        <x:f>IF(A327="","",Students!H327)</x:f>
      </x:c>
      <x:c r="E327" s="22" t="str">
        <x:f>IF(A327="","",COUNTIFS(Late_Transactions!E:E,A327,Late_Transactions!K:K,"Recorded"))</x:f>
      </x:c>
      <x:c r="F327" s="21" t="n">
        <x:f>IFERROR(MAXIFS(Late_Transactions!C:C,Late_Transactions!E:E,A327,Late_Transactions!K:K,"Recorded"),"")</x:f>
        <x:v>0</x:v>
      </x:c>
      <x:c r="G327" s="17" t="str">
        <x:f>IF(E327="","",IF(E327&gt;=5,"High",IF(E327&gt;=3,"Watch","OK")))</x:f>
      </x:c>
    </x:row>
    <x:row r="328">
      <x:c r="A328" s="17" t="str">
        <x:f>IF(Students!A328="","",Students!A328)</x:f>
      </x:c>
      <x:c r="B328" s="17" t="str">
        <x:f>IF(A328="","",Students!F328)</x:f>
      </x:c>
      <x:c r="C328" s="17" t="str">
        <x:f>IF(A328="","",Students!G328)</x:f>
      </x:c>
      <x:c r="D328" s="17" t="str">
        <x:f>IF(A328="","",Students!H328)</x:f>
      </x:c>
      <x:c r="E328" s="22" t="str">
        <x:f>IF(A328="","",COUNTIFS(Late_Transactions!E:E,A328,Late_Transactions!K:K,"Recorded"))</x:f>
      </x:c>
      <x:c r="F328" s="21" t="n">
        <x:f>IFERROR(MAXIFS(Late_Transactions!C:C,Late_Transactions!E:E,A328,Late_Transactions!K:K,"Recorded"),"")</x:f>
        <x:v>0</x:v>
      </x:c>
      <x:c r="G328" s="17" t="str">
        <x:f>IF(E328="","",IF(E328&gt;=5,"High",IF(E328&gt;=3,"Watch","OK")))</x:f>
      </x:c>
    </x:row>
    <x:row r="329">
      <x:c r="A329" s="17" t="str">
        <x:f>IF(Students!A329="","",Students!A329)</x:f>
      </x:c>
      <x:c r="B329" s="17" t="str">
        <x:f>IF(A329="","",Students!F329)</x:f>
      </x:c>
      <x:c r="C329" s="17" t="str">
        <x:f>IF(A329="","",Students!G329)</x:f>
      </x:c>
      <x:c r="D329" s="17" t="str">
        <x:f>IF(A329="","",Students!H329)</x:f>
      </x:c>
      <x:c r="E329" s="22" t="str">
        <x:f>IF(A329="","",COUNTIFS(Late_Transactions!E:E,A329,Late_Transactions!K:K,"Recorded"))</x:f>
      </x:c>
      <x:c r="F329" s="21" t="n">
        <x:f>IFERROR(MAXIFS(Late_Transactions!C:C,Late_Transactions!E:E,A329,Late_Transactions!K:K,"Recorded"),"")</x:f>
        <x:v>0</x:v>
      </x:c>
      <x:c r="G329" s="17" t="str">
        <x:f>IF(E329="","",IF(E329&gt;=5,"High",IF(E329&gt;=3,"Watch","OK")))</x:f>
      </x:c>
    </x:row>
    <x:row r="330">
      <x:c r="A330" s="17" t="str">
        <x:f>IF(Students!A330="","",Students!A330)</x:f>
      </x:c>
      <x:c r="B330" s="17" t="str">
        <x:f>IF(A330="","",Students!F330)</x:f>
      </x:c>
      <x:c r="C330" s="17" t="str">
        <x:f>IF(A330="","",Students!G330)</x:f>
      </x:c>
      <x:c r="D330" s="17" t="str">
        <x:f>IF(A330="","",Students!H330)</x:f>
      </x:c>
      <x:c r="E330" s="22" t="str">
        <x:f>IF(A330="","",COUNTIFS(Late_Transactions!E:E,A330,Late_Transactions!K:K,"Recorded"))</x:f>
      </x:c>
      <x:c r="F330" s="21" t="n">
        <x:f>IFERROR(MAXIFS(Late_Transactions!C:C,Late_Transactions!E:E,A330,Late_Transactions!K:K,"Recorded"),"")</x:f>
        <x:v>0</x:v>
      </x:c>
      <x:c r="G330" s="17" t="str">
        <x:f>IF(E330="","",IF(E330&gt;=5,"High",IF(E330&gt;=3,"Watch","OK")))</x:f>
      </x:c>
    </x:row>
    <x:row r="331">
      <x:c r="A331" s="17" t="str">
        <x:f>IF(Students!A331="","",Students!A331)</x:f>
      </x:c>
      <x:c r="B331" s="17" t="str">
        <x:f>IF(A331="","",Students!F331)</x:f>
      </x:c>
      <x:c r="C331" s="17" t="str">
        <x:f>IF(A331="","",Students!G331)</x:f>
      </x:c>
      <x:c r="D331" s="17" t="str">
        <x:f>IF(A331="","",Students!H331)</x:f>
      </x:c>
      <x:c r="E331" s="22" t="str">
        <x:f>IF(A331="","",COUNTIFS(Late_Transactions!E:E,A331,Late_Transactions!K:K,"Recorded"))</x:f>
      </x:c>
      <x:c r="F331" s="21" t="n">
        <x:f>IFERROR(MAXIFS(Late_Transactions!C:C,Late_Transactions!E:E,A331,Late_Transactions!K:K,"Recorded"),"")</x:f>
        <x:v>0</x:v>
      </x:c>
      <x:c r="G331" s="17" t="str">
        <x:f>IF(E331="","",IF(E331&gt;=5,"High",IF(E331&gt;=3,"Watch","OK")))</x:f>
      </x:c>
    </x:row>
    <x:row r="332">
      <x:c r="A332" s="17" t="str">
        <x:f>IF(Students!A332="","",Students!A332)</x:f>
      </x:c>
      <x:c r="B332" s="17" t="str">
        <x:f>IF(A332="","",Students!F332)</x:f>
      </x:c>
      <x:c r="C332" s="17" t="str">
        <x:f>IF(A332="","",Students!G332)</x:f>
      </x:c>
      <x:c r="D332" s="17" t="str">
        <x:f>IF(A332="","",Students!H332)</x:f>
      </x:c>
      <x:c r="E332" s="22" t="str">
        <x:f>IF(A332="","",COUNTIFS(Late_Transactions!E:E,A332,Late_Transactions!K:K,"Recorded"))</x:f>
      </x:c>
      <x:c r="F332" s="21" t="n">
        <x:f>IFERROR(MAXIFS(Late_Transactions!C:C,Late_Transactions!E:E,A332,Late_Transactions!K:K,"Recorded"),"")</x:f>
        <x:v>0</x:v>
      </x:c>
      <x:c r="G332" s="17" t="str">
        <x:f>IF(E332="","",IF(E332&gt;=5,"High",IF(E332&gt;=3,"Watch","OK")))</x:f>
      </x:c>
    </x:row>
    <x:row r="333">
      <x:c r="A333" s="17" t="str">
        <x:f>IF(Students!A333="","",Students!A333)</x:f>
      </x:c>
      <x:c r="B333" s="17" t="str">
        <x:f>IF(A333="","",Students!F333)</x:f>
      </x:c>
      <x:c r="C333" s="17" t="str">
        <x:f>IF(A333="","",Students!G333)</x:f>
      </x:c>
      <x:c r="D333" s="17" t="str">
        <x:f>IF(A333="","",Students!H333)</x:f>
      </x:c>
      <x:c r="E333" s="22" t="str">
        <x:f>IF(A333="","",COUNTIFS(Late_Transactions!E:E,A333,Late_Transactions!K:K,"Recorded"))</x:f>
      </x:c>
      <x:c r="F333" s="21" t="n">
        <x:f>IFERROR(MAXIFS(Late_Transactions!C:C,Late_Transactions!E:E,A333,Late_Transactions!K:K,"Recorded"),"")</x:f>
        <x:v>0</x:v>
      </x:c>
      <x:c r="G333" s="17" t="str">
        <x:f>IF(E333="","",IF(E333&gt;=5,"High",IF(E333&gt;=3,"Watch","OK")))</x:f>
      </x:c>
    </x:row>
    <x:row r="334">
      <x:c r="A334" s="17" t="str">
        <x:f>IF(Students!A334="","",Students!A334)</x:f>
      </x:c>
      <x:c r="B334" s="17" t="str">
        <x:f>IF(A334="","",Students!F334)</x:f>
      </x:c>
      <x:c r="C334" s="17" t="str">
        <x:f>IF(A334="","",Students!G334)</x:f>
      </x:c>
      <x:c r="D334" s="17" t="str">
        <x:f>IF(A334="","",Students!H334)</x:f>
      </x:c>
      <x:c r="E334" s="22" t="str">
        <x:f>IF(A334="","",COUNTIFS(Late_Transactions!E:E,A334,Late_Transactions!K:K,"Recorded"))</x:f>
      </x:c>
      <x:c r="F334" s="21" t="n">
        <x:f>IFERROR(MAXIFS(Late_Transactions!C:C,Late_Transactions!E:E,A334,Late_Transactions!K:K,"Recorded"),"")</x:f>
        <x:v>0</x:v>
      </x:c>
      <x:c r="G334" s="17" t="str">
        <x:f>IF(E334="","",IF(E334&gt;=5,"High",IF(E334&gt;=3,"Watch","OK")))</x:f>
      </x:c>
    </x:row>
    <x:row r="335">
      <x:c r="A335" s="17" t="str">
        <x:f>IF(Students!A335="","",Students!A335)</x:f>
      </x:c>
      <x:c r="B335" s="17" t="str">
        <x:f>IF(A335="","",Students!F335)</x:f>
      </x:c>
      <x:c r="C335" s="17" t="str">
        <x:f>IF(A335="","",Students!G335)</x:f>
      </x:c>
      <x:c r="D335" s="17" t="str">
        <x:f>IF(A335="","",Students!H335)</x:f>
      </x:c>
      <x:c r="E335" s="22" t="str">
        <x:f>IF(A335="","",COUNTIFS(Late_Transactions!E:E,A335,Late_Transactions!K:K,"Recorded"))</x:f>
      </x:c>
      <x:c r="F335" s="21" t="n">
        <x:f>IFERROR(MAXIFS(Late_Transactions!C:C,Late_Transactions!E:E,A335,Late_Transactions!K:K,"Recorded"),"")</x:f>
        <x:v>0</x:v>
      </x:c>
      <x:c r="G335" s="17" t="str">
        <x:f>IF(E335="","",IF(E335&gt;=5,"High",IF(E335&gt;=3,"Watch","OK")))</x:f>
      </x:c>
    </x:row>
    <x:row r="336">
      <x:c r="A336" s="17" t="str">
        <x:f>IF(Students!A336="","",Students!A336)</x:f>
      </x:c>
      <x:c r="B336" s="17" t="str">
        <x:f>IF(A336="","",Students!F336)</x:f>
      </x:c>
      <x:c r="C336" s="17" t="str">
        <x:f>IF(A336="","",Students!G336)</x:f>
      </x:c>
      <x:c r="D336" s="17" t="str">
        <x:f>IF(A336="","",Students!H336)</x:f>
      </x:c>
      <x:c r="E336" s="22" t="str">
        <x:f>IF(A336="","",COUNTIFS(Late_Transactions!E:E,A336,Late_Transactions!K:K,"Recorded"))</x:f>
      </x:c>
      <x:c r="F336" s="21" t="n">
        <x:f>IFERROR(MAXIFS(Late_Transactions!C:C,Late_Transactions!E:E,A336,Late_Transactions!K:K,"Recorded"),"")</x:f>
        <x:v>0</x:v>
      </x:c>
      <x:c r="G336" s="17" t="str">
        <x:f>IF(E336="","",IF(E336&gt;=5,"High",IF(E336&gt;=3,"Watch","OK")))</x:f>
      </x:c>
    </x:row>
    <x:row r="337">
      <x:c r="A337" s="17" t="str">
        <x:f>IF(Students!A337="","",Students!A337)</x:f>
      </x:c>
      <x:c r="B337" s="17" t="str">
        <x:f>IF(A337="","",Students!F337)</x:f>
      </x:c>
      <x:c r="C337" s="17" t="str">
        <x:f>IF(A337="","",Students!G337)</x:f>
      </x:c>
      <x:c r="D337" s="17" t="str">
        <x:f>IF(A337="","",Students!H337)</x:f>
      </x:c>
      <x:c r="E337" s="22" t="str">
        <x:f>IF(A337="","",COUNTIFS(Late_Transactions!E:E,A337,Late_Transactions!K:K,"Recorded"))</x:f>
      </x:c>
      <x:c r="F337" s="21" t="n">
        <x:f>IFERROR(MAXIFS(Late_Transactions!C:C,Late_Transactions!E:E,A337,Late_Transactions!K:K,"Recorded"),"")</x:f>
        <x:v>0</x:v>
      </x:c>
      <x:c r="G337" s="17" t="str">
        <x:f>IF(E337="","",IF(E337&gt;=5,"High",IF(E337&gt;=3,"Watch","OK")))</x:f>
      </x:c>
    </x:row>
    <x:row r="338">
      <x:c r="A338" s="17" t="str">
        <x:f>IF(Students!A338="","",Students!A338)</x:f>
      </x:c>
      <x:c r="B338" s="17" t="str">
        <x:f>IF(A338="","",Students!F338)</x:f>
      </x:c>
      <x:c r="C338" s="17" t="str">
        <x:f>IF(A338="","",Students!G338)</x:f>
      </x:c>
      <x:c r="D338" s="17" t="str">
        <x:f>IF(A338="","",Students!H338)</x:f>
      </x:c>
      <x:c r="E338" s="22" t="str">
        <x:f>IF(A338="","",COUNTIFS(Late_Transactions!E:E,A338,Late_Transactions!K:K,"Recorded"))</x:f>
      </x:c>
      <x:c r="F338" s="21" t="n">
        <x:f>IFERROR(MAXIFS(Late_Transactions!C:C,Late_Transactions!E:E,A338,Late_Transactions!K:K,"Recorded"),"")</x:f>
        <x:v>0</x:v>
      </x:c>
      <x:c r="G338" s="17" t="str">
        <x:f>IF(E338="","",IF(E338&gt;=5,"High",IF(E338&gt;=3,"Watch","OK")))</x:f>
      </x:c>
    </x:row>
    <x:row r="339">
      <x:c r="A339" s="17" t="str">
        <x:f>IF(Students!A339="","",Students!A339)</x:f>
      </x:c>
      <x:c r="B339" s="17" t="str">
        <x:f>IF(A339="","",Students!F339)</x:f>
      </x:c>
      <x:c r="C339" s="17" t="str">
        <x:f>IF(A339="","",Students!G339)</x:f>
      </x:c>
      <x:c r="D339" s="17" t="str">
        <x:f>IF(A339="","",Students!H339)</x:f>
      </x:c>
      <x:c r="E339" s="22" t="str">
        <x:f>IF(A339="","",COUNTIFS(Late_Transactions!E:E,A339,Late_Transactions!K:K,"Recorded"))</x:f>
      </x:c>
      <x:c r="F339" s="21" t="n">
        <x:f>IFERROR(MAXIFS(Late_Transactions!C:C,Late_Transactions!E:E,A339,Late_Transactions!K:K,"Recorded"),"")</x:f>
        <x:v>0</x:v>
      </x:c>
      <x:c r="G339" s="17" t="str">
        <x:f>IF(E339="","",IF(E339&gt;=5,"High",IF(E339&gt;=3,"Watch","OK")))</x:f>
      </x:c>
    </x:row>
    <x:row r="340">
      <x:c r="A340" s="17" t="str">
        <x:f>IF(Students!A340="","",Students!A340)</x:f>
      </x:c>
      <x:c r="B340" s="17" t="str">
        <x:f>IF(A340="","",Students!F340)</x:f>
      </x:c>
      <x:c r="C340" s="17" t="str">
        <x:f>IF(A340="","",Students!G340)</x:f>
      </x:c>
      <x:c r="D340" s="17" t="str">
        <x:f>IF(A340="","",Students!H340)</x:f>
      </x:c>
      <x:c r="E340" s="22" t="str">
        <x:f>IF(A340="","",COUNTIFS(Late_Transactions!E:E,A340,Late_Transactions!K:K,"Recorded"))</x:f>
      </x:c>
      <x:c r="F340" s="21" t="n">
        <x:f>IFERROR(MAXIFS(Late_Transactions!C:C,Late_Transactions!E:E,A340,Late_Transactions!K:K,"Recorded"),"")</x:f>
        <x:v>0</x:v>
      </x:c>
      <x:c r="G340" s="17" t="str">
        <x:f>IF(E340="","",IF(E340&gt;=5,"High",IF(E340&gt;=3,"Watch","OK")))</x:f>
      </x:c>
    </x:row>
    <x:row r="341">
      <x:c r="A341" s="17" t="str">
        <x:f>IF(Students!A341="","",Students!A341)</x:f>
      </x:c>
      <x:c r="B341" s="17" t="str">
        <x:f>IF(A341="","",Students!F341)</x:f>
      </x:c>
      <x:c r="C341" s="17" t="str">
        <x:f>IF(A341="","",Students!G341)</x:f>
      </x:c>
      <x:c r="D341" s="17" t="str">
        <x:f>IF(A341="","",Students!H341)</x:f>
      </x:c>
      <x:c r="E341" s="22" t="str">
        <x:f>IF(A341="","",COUNTIFS(Late_Transactions!E:E,A341,Late_Transactions!K:K,"Recorded"))</x:f>
      </x:c>
      <x:c r="F341" s="21" t="n">
        <x:f>IFERROR(MAXIFS(Late_Transactions!C:C,Late_Transactions!E:E,A341,Late_Transactions!K:K,"Recorded"),"")</x:f>
        <x:v>0</x:v>
      </x:c>
      <x:c r="G341" s="17" t="str">
        <x:f>IF(E341="","",IF(E341&gt;=5,"High",IF(E341&gt;=3,"Watch","OK")))</x:f>
      </x:c>
    </x:row>
    <x:row r="342">
      <x:c r="A342" s="17" t="str">
        <x:f>IF(Students!A342="","",Students!A342)</x:f>
      </x:c>
      <x:c r="B342" s="17" t="str">
        <x:f>IF(A342="","",Students!F342)</x:f>
      </x:c>
      <x:c r="C342" s="17" t="str">
        <x:f>IF(A342="","",Students!G342)</x:f>
      </x:c>
      <x:c r="D342" s="17" t="str">
        <x:f>IF(A342="","",Students!H342)</x:f>
      </x:c>
      <x:c r="E342" s="22" t="str">
        <x:f>IF(A342="","",COUNTIFS(Late_Transactions!E:E,A342,Late_Transactions!K:K,"Recorded"))</x:f>
      </x:c>
      <x:c r="F342" s="21" t="n">
        <x:f>IFERROR(MAXIFS(Late_Transactions!C:C,Late_Transactions!E:E,A342,Late_Transactions!K:K,"Recorded"),"")</x:f>
        <x:v>0</x:v>
      </x:c>
      <x:c r="G342" s="17" t="str">
        <x:f>IF(E342="","",IF(E342&gt;=5,"High",IF(E342&gt;=3,"Watch","OK")))</x:f>
      </x:c>
    </x:row>
    <x:row r="343">
      <x:c r="A343" s="17" t="str">
        <x:f>IF(Students!A343="","",Students!A343)</x:f>
      </x:c>
      <x:c r="B343" s="17" t="str">
        <x:f>IF(A343="","",Students!F343)</x:f>
      </x:c>
      <x:c r="C343" s="17" t="str">
        <x:f>IF(A343="","",Students!G343)</x:f>
      </x:c>
      <x:c r="D343" s="17" t="str">
        <x:f>IF(A343="","",Students!H343)</x:f>
      </x:c>
      <x:c r="E343" s="22" t="str">
        <x:f>IF(A343="","",COUNTIFS(Late_Transactions!E:E,A343,Late_Transactions!K:K,"Recorded"))</x:f>
      </x:c>
      <x:c r="F343" s="21" t="n">
        <x:f>IFERROR(MAXIFS(Late_Transactions!C:C,Late_Transactions!E:E,A343,Late_Transactions!K:K,"Recorded"),"")</x:f>
        <x:v>0</x:v>
      </x:c>
      <x:c r="G343" s="17" t="str">
        <x:f>IF(E343="","",IF(E343&gt;=5,"High",IF(E343&gt;=3,"Watch","OK")))</x:f>
      </x:c>
    </x:row>
    <x:row r="344">
      <x:c r="A344" s="17" t="str">
        <x:f>IF(Students!A344="","",Students!A344)</x:f>
      </x:c>
      <x:c r="B344" s="17" t="str">
        <x:f>IF(A344="","",Students!F344)</x:f>
      </x:c>
      <x:c r="C344" s="17" t="str">
        <x:f>IF(A344="","",Students!G344)</x:f>
      </x:c>
      <x:c r="D344" s="17" t="str">
        <x:f>IF(A344="","",Students!H344)</x:f>
      </x:c>
      <x:c r="E344" s="22" t="str">
        <x:f>IF(A344="","",COUNTIFS(Late_Transactions!E:E,A344,Late_Transactions!K:K,"Recorded"))</x:f>
      </x:c>
      <x:c r="F344" s="21" t="n">
        <x:f>IFERROR(MAXIFS(Late_Transactions!C:C,Late_Transactions!E:E,A344,Late_Transactions!K:K,"Recorded"),"")</x:f>
        <x:v>0</x:v>
      </x:c>
      <x:c r="G344" s="17" t="str">
        <x:f>IF(E344="","",IF(E344&gt;=5,"High",IF(E344&gt;=3,"Watch","OK")))</x:f>
      </x:c>
    </x:row>
    <x:row r="345">
      <x:c r="A345" s="17" t="str">
        <x:f>IF(Students!A345="","",Students!A345)</x:f>
      </x:c>
      <x:c r="B345" s="17" t="str">
        <x:f>IF(A345="","",Students!F345)</x:f>
      </x:c>
      <x:c r="C345" s="17" t="str">
        <x:f>IF(A345="","",Students!G345)</x:f>
      </x:c>
      <x:c r="D345" s="17" t="str">
        <x:f>IF(A345="","",Students!H345)</x:f>
      </x:c>
      <x:c r="E345" s="22" t="str">
        <x:f>IF(A345="","",COUNTIFS(Late_Transactions!E:E,A345,Late_Transactions!K:K,"Recorded"))</x:f>
      </x:c>
      <x:c r="F345" s="21" t="n">
        <x:f>IFERROR(MAXIFS(Late_Transactions!C:C,Late_Transactions!E:E,A345,Late_Transactions!K:K,"Recorded"),"")</x:f>
        <x:v>0</x:v>
      </x:c>
      <x:c r="G345" s="17" t="str">
        <x:f>IF(E345="","",IF(E345&gt;=5,"High",IF(E345&gt;=3,"Watch","OK")))</x:f>
      </x:c>
    </x:row>
    <x:row r="346">
      <x:c r="A346" s="17" t="str">
        <x:f>IF(Students!A346="","",Students!A346)</x:f>
      </x:c>
      <x:c r="B346" s="17" t="str">
        <x:f>IF(A346="","",Students!F346)</x:f>
      </x:c>
      <x:c r="C346" s="17" t="str">
        <x:f>IF(A346="","",Students!G346)</x:f>
      </x:c>
      <x:c r="D346" s="17" t="str">
        <x:f>IF(A346="","",Students!H346)</x:f>
      </x:c>
      <x:c r="E346" s="22" t="str">
        <x:f>IF(A346="","",COUNTIFS(Late_Transactions!E:E,A346,Late_Transactions!K:K,"Recorded"))</x:f>
      </x:c>
      <x:c r="F346" s="21" t="n">
        <x:f>IFERROR(MAXIFS(Late_Transactions!C:C,Late_Transactions!E:E,A346,Late_Transactions!K:K,"Recorded"),"")</x:f>
        <x:v>0</x:v>
      </x:c>
      <x:c r="G346" s="17" t="str">
        <x:f>IF(E346="","",IF(E346&gt;=5,"High",IF(E346&gt;=3,"Watch","OK")))</x:f>
      </x:c>
    </x:row>
    <x:row r="347">
      <x:c r="A347" s="17" t="str">
        <x:f>IF(Students!A347="","",Students!A347)</x:f>
      </x:c>
      <x:c r="B347" s="17" t="str">
        <x:f>IF(A347="","",Students!F347)</x:f>
      </x:c>
      <x:c r="C347" s="17" t="str">
        <x:f>IF(A347="","",Students!G347)</x:f>
      </x:c>
      <x:c r="D347" s="17" t="str">
        <x:f>IF(A347="","",Students!H347)</x:f>
      </x:c>
      <x:c r="E347" s="22" t="str">
        <x:f>IF(A347="","",COUNTIFS(Late_Transactions!E:E,A347,Late_Transactions!K:K,"Recorded"))</x:f>
      </x:c>
      <x:c r="F347" s="21" t="n">
        <x:f>IFERROR(MAXIFS(Late_Transactions!C:C,Late_Transactions!E:E,A347,Late_Transactions!K:K,"Recorded"),"")</x:f>
        <x:v>0</x:v>
      </x:c>
      <x:c r="G347" s="17" t="str">
        <x:f>IF(E347="","",IF(E347&gt;=5,"High",IF(E347&gt;=3,"Watch","OK")))</x:f>
      </x:c>
    </x:row>
    <x:row r="348">
      <x:c r="A348" s="17" t="str">
        <x:f>IF(Students!A348="","",Students!A348)</x:f>
      </x:c>
      <x:c r="B348" s="17" t="str">
        <x:f>IF(A348="","",Students!F348)</x:f>
      </x:c>
      <x:c r="C348" s="17" t="str">
        <x:f>IF(A348="","",Students!G348)</x:f>
      </x:c>
      <x:c r="D348" s="17" t="str">
        <x:f>IF(A348="","",Students!H348)</x:f>
      </x:c>
      <x:c r="E348" s="22" t="str">
        <x:f>IF(A348="","",COUNTIFS(Late_Transactions!E:E,A348,Late_Transactions!K:K,"Recorded"))</x:f>
      </x:c>
      <x:c r="F348" s="21" t="n">
        <x:f>IFERROR(MAXIFS(Late_Transactions!C:C,Late_Transactions!E:E,A348,Late_Transactions!K:K,"Recorded"),"")</x:f>
        <x:v>0</x:v>
      </x:c>
      <x:c r="G348" s="17" t="str">
        <x:f>IF(E348="","",IF(E348&gt;=5,"High",IF(E348&gt;=3,"Watch","OK")))</x:f>
      </x:c>
    </x:row>
    <x:row r="349">
      <x:c r="A349" s="17" t="str">
        <x:f>IF(Students!A349="","",Students!A349)</x:f>
      </x:c>
      <x:c r="B349" s="17" t="str">
        <x:f>IF(A349="","",Students!F349)</x:f>
      </x:c>
      <x:c r="C349" s="17" t="str">
        <x:f>IF(A349="","",Students!G349)</x:f>
      </x:c>
      <x:c r="D349" s="17" t="str">
        <x:f>IF(A349="","",Students!H349)</x:f>
      </x:c>
      <x:c r="E349" s="22" t="str">
        <x:f>IF(A349="","",COUNTIFS(Late_Transactions!E:E,A349,Late_Transactions!K:K,"Recorded"))</x:f>
      </x:c>
      <x:c r="F349" s="21" t="n">
        <x:f>IFERROR(MAXIFS(Late_Transactions!C:C,Late_Transactions!E:E,A349,Late_Transactions!K:K,"Recorded"),"")</x:f>
        <x:v>0</x:v>
      </x:c>
      <x:c r="G349" s="17" t="str">
        <x:f>IF(E349="","",IF(E349&gt;=5,"High",IF(E349&gt;=3,"Watch","OK")))</x:f>
      </x:c>
    </x:row>
    <x:row r="350">
      <x:c r="A350" s="17" t="str">
        <x:f>IF(Students!A350="","",Students!A350)</x:f>
      </x:c>
      <x:c r="B350" s="17" t="str">
        <x:f>IF(A350="","",Students!F350)</x:f>
      </x:c>
      <x:c r="C350" s="17" t="str">
        <x:f>IF(A350="","",Students!G350)</x:f>
      </x:c>
      <x:c r="D350" s="17" t="str">
        <x:f>IF(A350="","",Students!H350)</x:f>
      </x:c>
      <x:c r="E350" s="22" t="str">
        <x:f>IF(A350="","",COUNTIFS(Late_Transactions!E:E,A350,Late_Transactions!K:K,"Recorded"))</x:f>
      </x:c>
      <x:c r="F350" s="21" t="n">
        <x:f>IFERROR(MAXIFS(Late_Transactions!C:C,Late_Transactions!E:E,A350,Late_Transactions!K:K,"Recorded"),"")</x:f>
        <x:v>0</x:v>
      </x:c>
      <x:c r="G350" s="17" t="str">
        <x:f>IF(E350="","",IF(E350&gt;=5,"High",IF(E350&gt;=3,"Watch","OK")))</x:f>
      </x:c>
    </x:row>
    <x:row r="351">
      <x:c r="A351" s="17" t="str">
        <x:f>IF(Students!A351="","",Students!A351)</x:f>
      </x:c>
      <x:c r="B351" s="17" t="str">
        <x:f>IF(A351="","",Students!F351)</x:f>
      </x:c>
      <x:c r="C351" s="17" t="str">
        <x:f>IF(A351="","",Students!G351)</x:f>
      </x:c>
      <x:c r="D351" s="17" t="str">
        <x:f>IF(A351="","",Students!H351)</x:f>
      </x:c>
      <x:c r="E351" s="22" t="str">
        <x:f>IF(A351="","",COUNTIFS(Late_Transactions!E:E,A351,Late_Transactions!K:K,"Recorded"))</x:f>
      </x:c>
      <x:c r="F351" s="21" t="n">
        <x:f>IFERROR(MAXIFS(Late_Transactions!C:C,Late_Transactions!E:E,A351,Late_Transactions!K:K,"Recorded"),"")</x:f>
        <x:v>0</x:v>
      </x:c>
      <x:c r="G351" s="17" t="str">
        <x:f>IF(E351="","",IF(E351&gt;=5,"High",IF(E351&gt;=3,"Watch","OK")))</x:f>
      </x:c>
    </x:row>
    <x:row r="352">
      <x:c r="A352" s="17" t="str">
        <x:f>IF(Students!A352="","",Students!A352)</x:f>
      </x:c>
      <x:c r="B352" s="17" t="str">
        <x:f>IF(A352="","",Students!F352)</x:f>
      </x:c>
      <x:c r="C352" s="17" t="str">
        <x:f>IF(A352="","",Students!G352)</x:f>
      </x:c>
      <x:c r="D352" s="17" t="str">
        <x:f>IF(A352="","",Students!H352)</x:f>
      </x:c>
      <x:c r="E352" s="22" t="str">
        <x:f>IF(A352="","",COUNTIFS(Late_Transactions!E:E,A352,Late_Transactions!K:K,"Recorded"))</x:f>
      </x:c>
      <x:c r="F352" s="21" t="n">
        <x:f>IFERROR(MAXIFS(Late_Transactions!C:C,Late_Transactions!E:E,A352,Late_Transactions!K:K,"Recorded"),"")</x:f>
        <x:v>0</x:v>
      </x:c>
      <x:c r="G352" s="17" t="str">
        <x:f>IF(E352="","",IF(E352&gt;=5,"High",IF(E352&gt;=3,"Watch","OK")))</x:f>
      </x:c>
    </x:row>
    <x:row r="353">
      <x:c r="A353" s="17" t="str">
        <x:f>IF(Students!A353="","",Students!A353)</x:f>
      </x:c>
      <x:c r="B353" s="17" t="str">
        <x:f>IF(A353="","",Students!F353)</x:f>
      </x:c>
      <x:c r="C353" s="17" t="str">
        <x:f>IF(A353="","",Students!G353)</x:f>
      </x:c>
      <x:c r="D353" s="17" t="str">
        <x:f>IF(A353="","",Students!H353)</x:f>
      </x:c>
      <x:c r="E353" s="22" t="str">
        <x:f>IF(A353="","",COUNTIFS(Late_Transactions!E:E,A353,Late_Transactions!K:K,"Recorded"))</x:f>
      </x:c>
      <x:c r="F353" s="21" t="n">
        <x:f>IFERROR(MAXIFS(Late_Transactions!C:C,Late_Transactions!E:E,A353,Late_Transactions!K:K,"Recorded"),"")</x:f>
        <x:v>0</x:v>
      </x:c>
      <x:c r="G353" s="17" t="str">
        <x:f>IF(E353="","",IF(E353&gt;=5,"High",IF(E353&gt;=3,"Watch","OK")))</x:f>
      </x:c>
    </x:row>
    <x:row r="354">
      <x:c r="A354" s="17" t="str">
        <x:f>IF(Students!A354="","",Students!A354)</x:f>
      </x:c>
      <x:c r="B354" s="17" t="str">
        <x:f>IF(A354="","",Students!F354)</x:f>
      </x:c>
      <x:c r="C354" s="17" t="str">
        <x:f>IF(A354="","",Students!G354)</x:f>
      </x:c>
      <x:c r="D354" s="17" t="str">
        <x:f>IF(A354="","",Students!H354)</x:f>
      </x:c>
      <x:c r="E354" s="22" t="str">
        <x:f>IF(A354="","",COUNTIFS(Late_Transactions!E:E,A354,Late_Transactions!K:K,"Recorded"))</x:f>
      </x:c>
      <x:c r="F354" s="21" t="n">
        <x:f>IFERROR(MAXIFS(Late_Transactions!C:C,Late_Transactions!E:E,A354,Late_Transactions!K:K,"Recorded"),"")</x:f>
        <x:v>0</x:v>
      </x:c>
      <x:c r="G354" s="17" t="str">
        <x:f>IF(E354="","",IF(E354&gt;=5,"High",IF(E354&gt;=3,"Watch","OK")))</x:f>
      </x:c>
    </x:row>
    <x:row r="355">
      <x:c r="A355" s="17" t="str">
        <x:f>IF(Students!A355="","",Students!A355)</x:f>
      </x:c>
      <x:c r="B355" s="17" t="str">
        <x:f>IF(A355="","",Students!F355)</x:f>
      </x:c>
      <x:c r="C355" s="17" t="str">
        <x:f>IF(A355="","",Students!G355)</x:f>
      </x:c>
      <x:c r="D355" s="17" t="str">
        <x:f>IF(A355="","",Students!H355)</x:f>
      </x:c>
      <x:c r="E355" s="22" t="str">
        <x:f>IF(A355="","",COUNTIFS(Late_Transactions!E:E,A355,Late_Transactions!K:K,"Recorded"))</x:f>
      </x:c>
      <x:c r="F355" s="21" t="n">
        <x:f>IFERROR(MAXIFS(Late_Transactions!C:C,Late_Transactions!E:E,A355,Late_Transactions!K:K,"Recorded"),"")</x:f>
        <x:v>0</x:v>
      </x:c>
      <x:c r="G355" s="17" t="str">
        <x:f>IF(E355="","",IF(E355&gt;=5,"High",IF(E355&gt;=3,"Watch","OK")))</x:f>
      </x:c>
    </x:row>
    <x:row r="356">
      <x:c r="A356" s="17" t="str">
        <x:f>IF(Students!A356="","",Students!A356)</x:f>
      </x:c>
      <x:c r="B356" s="17" t="str">
        <x:f>IF(A356="","",Students!F356)</x:f>
      </x:c>
      <x:c r="C356" s="17" t="str">
        <x:f>IF(A356="","",Students!G356)</x:f>
      </x:c>
      <x:c r="D356" s="17" t="str">
        <x:f>IF(A356="","",Students!H356)</x:f>
      </x:c>
      <x:c r="E356" s="22" t="str">
        <x:f>IF(A356="","",COUNTIFS(Late_Transactions!E:E,A356,Late_Transactions!K:K,"Recorded"))</x:f>
      </x:c>
      <x:c r="F356" s="21" t="n">
        <x:f>IFERROR(MAXIFS(Late_Transactions!C:C,Late_Transactions!E:E,A356,Late_Transactions!K:K,"Recorded"),"")</x:f>
        <x:v>0</x:v>
      </x:c>
      <x:c r="G356" s="17" t="str">
        <x:f>IF(E356="","",IF(E356&gt;=5,"High",IF(E356&gt;=3,"Watch","OK")))</x:f>
      </x:c>
    </x:row>
    <x:row r="357">
      <x:c r="A357" s="17" t="str">
        <x:f>IF(Students!A357="","",Students!A357)</x:f>
      </x:c>
      <x:c r="B357" s="17" t="str">
        <x:f>IF(A357="","",Students!F357)</x:f>
      </x:c>
      <x:c r="C357" s="17" t="str">
        <x:f>IF(A357="","",Students!G357)</x:f>
      </x:c>
      <x:c r="D357" s="17" t="str">
        <x:f>IF(A357="","",Students!H357)</x:f>
      </x:c>
      <x:c r="E357" s="22" t="str">
        <x:f>IF(A357="","",COUNTIFS(Late_Transactions!E:E,A357,Late_Transactions!K:K,"Recorded"))</x:f>
      </x:c>
      <x:c r="F357" s="21" t="n">
        <x:f>IFERROR(MAXIFS(Late_Transactions!C:C,Late_Transactions!E:E,A357,Late_Transactions!K:K,"Recorded"),"")</x:f>
        <x:v>0</x:v>
      </x:c>
      <x:c r="G357" s="17" t="str">
        <x:f>IF(E357="","",IF(E357&gt;=5,"High",IF(E357&gt;=3,"Watch","OK")))</x:f>
      </x:c>
    </x:row>
    <x:row r="358">
      <x:c r="A358" s="17" t="str">
        <x:f>IF(Students!A358="","",Students!A358)</x:f>
      </x:c>
      <x:c r="B358" s="17" t="str">
        <x:f>IF(A358="","",Students!F358)</x:f>
      </x:c>
      <x:c r="C358" s="17" t="str">
        <x:f>IF(A358="","",Students!G358)</x:f>
      </x:c>
      <x:c r="D358" s="17" t="str">
        <x:f>IF(A358="","",Students!H358)</x:f>
      </x:c>
      <x:c r="E358" s="22" t="str">
        <x:f>IF(A358="","",COUNTIFS(Late_Transactions!E:E,A358,Late_Transactions!K:K,"Recorded"))</x:f>
      </x:c>
      <x:c r="F358" s="21" t="n">
        <x:f>IFERROR(MAXIFS(Late_Transactions!C:C,Late_Transactions!E:E,A358,Late_Transactions!K:K,"Recorded"),"")</x:f>
        <x:v>0</x:v>
      </x:c>
      <x:c r="G358" s="17" t="str">
        <x:f>IF(E358="","",IF(E358&gt;=5,"High",IF(E358&gt;=3,"Watch","OK")))</x:f>
      </x:c>
    </x:row>
    <x:row r="359">
      <x:c r="A359" s="17" t="str">
        <x:f>IF(Students!A359="","",Students!A359)</x:f>
      </x:c>
      <x:c r="B359" s="17" t="str">
        <x:f>IF(A359="","",Students!F359)</x:f>
      </x:c>
      <x:c r="C359" s="17" t="str">
        <x:f>IF(A359="","",Students!G359)</x:f>
      </x:c>
      <x:c r="D359" s="17" t="str">
        <x:f>IF(A359="","",Students!H359)</x:f>
      </x:c>
      <x:c r="E359" s="22" t="str">
        <x:f>IF(A359="","",COUNTIFS(Late_Transactions!E:E,A359,Late_Transactions!K:K,"Recorded"))</x:f>
      </x:c>
      <x:c r="F359" s="21" t="n">
        <x:f>IFERROR(MAXIFS(Late_Transactions!C:C,Late_Transactions!E:E,A359,Late_Transactions!K:K,"Recorded"),"")</x:f>
        <x:v>0</x:v>
      </x:c>
      <x:c r="G359" s="17" t="str">
        <x:f>IF(E359="","",IF(E359&gt;=5,"High",IF(E359&gt;=3,"Watch","OK")))</x:f>
      </x:c>
    </x:row>
    <x:row r="360">
      <x:c r="A360" s="17" t="str">
        <x:f>IF(Students!A360="","",Students!A360)</x:f>
      </x:c>
      <x:c r="B360" s="17" t="str">
        <x:f>IF(A360="","",Students!F360)</x:f>
      </x:c>
      <x:c r="C360" s="17" t="str">
        <x:f>IF(A360="","",Students!G360)</x:f>
      </x:c>
      <x:c r="D360" s="17" t="str">
        <x:f>IF(A360="","",Students!H360)</x:f>
      </x:c>
      <x:c r="E360" s="22" t="str">
        <x:f>IF(A360="","",COUNTIFS(Late_Transactions!E:E,A360,Late_Transactions!K:K,"Recorded"))</x:f>
      </x:c>
      <x:c r="F360" s="21" t="n">
        <x:f>IFERROR(MAXIFS(Late_Transactions!C:C,Late_Transactions!E:E,A360,Late_Transactions!K:K,"Recorded"),"")</x:f>
        <x:v>0</x:v>
      </x:c>
      <x:c r="G360" s="17" t="str">
        <x:f>IF(E360="","",IF(E360&gt;=5,"High",IF(E360&gt;=3,"Watch","OK")))</x:f>
      </x:c>
    </x:row>
    <x:row r="361">
      <x:c r="A361" s="17" t="str">
        <x:f>IF(Students!A361="","",Students!A361)</x:f>
      </x:c>
      <x:c r="B361" s="17" t="str">
        <x:f>IF(A361="","",Students!F361)</x:f>
      </x:c>
      <x:c r="C361" s="17" t="str">
        <x:f>IF(A361="","",Students!G361)</x:f>
      </x:c>
      <x:c r="D361" s="17" t="str">
        <x:f>IF(A361="","",Students!H361)</x:f>
      </x:c>
      <x:c r="E361" s="22" t="str">
        <x:f>IF(A361="","",COUNTIFS(Late_Transactions!E:E,A361,Late_Transactions!K:K,"Recorded"))</x:f>
      </x:c>
      <x:c r="F361" s="21" t="n">
        <x:f>IFERROR(MAXIFS(Late_Transactions!C:C,Late_Transactions!E:E,A361,Late_Transactions!K:K,"Recorded"),"")</x:f>
        <x:v>0</x:v>
      </x:c>
      <x:c r="G361" s="17" t="str">
        <x:f>IF(E361="","",IF(E361&gt;=5,"High",IF(E361&gt;=3,"Watch","OK")))</x:f>
      </x:c>
    </x:row>
    <x:row r="362">
      <x:c r="A362" s="17" t="str">
        <x:f>IF(Students!A362="","",Students!A362)</x:f>
      </x:c>
      <x:c r="B362" s="17" t="str">
        <x:f>IF(A362="","",Students!F362)</x:f>
      </x:c>
      <x:c r="C362" s="17" t="str">
        <x:f>IF(A362="","",Students!G362)</x:f>
      </x:c>
      <x:c r="D362" s="17" t="str">
        <x:f>IF(A362="","",Students!H362)</x:f>
      </x:c>
      <x:c r="E362" s="22" t="str">
        <x:f>IF(A362="","",COUNTIFS(Late_Transactions!E:E,A362,Late_Transactions!K:K,"Recorded"))</x:f>
      </x:c>
      <x:c r="F362" s="21" t="n">
        <x:f>IFERROR(MAXIFS(Late_Transactions!C:C,Late_Transactions!E:E,A362,Late_Transactions!K:K,"Recorded"),"")</x:f>
        <x:v>0</x:v>
      </x:c>
      <x:c r="G362" s="17" t="str">
        <x:f>IF(E362="","",IF(E362&gt;=5,"High",IF(E362&gt;=3,"Watch","OK")))</x:f>
      </x:c>
    </x:row>
    <x:row r="363">
      <x:c r="A363" s="17" t="str">
        <x:f>IF(Students!A363="","",Students!A363)</x:f>
      </x:c>
      <x:c r="B363" s="17" t="str">
        <x:f>IF(A363="","",Students!F363)</x:f>
      </x:c>
      <x:c r="C363" s="17" t="str">
        <x:f>IF(A363="","",Students!G363)</x:f>
      </x:c>
      <x:c r="D363" s="17" t="str">
        <x:f>IF(A363="","",Students!H363)</x:f>
      </x:c>
      <x:c r="E363" s="22" t="str">
        <x:f>IF(A363="","",COUNTIFS(Late_Transactions!E:E,A363,Late_Transactions!K:K,"Recorded"))</x:f>
      </x:c>
      <x:c r="F363" s="21" t="n">
        <x:f>IFERROR(MAXIFS(Late_Transactions!C:C,Late_Transactions!E:E,A363,Late_Transactions!K:K,"Recorded"),"")</x:f>
        <x:v>0</x:v>
      </x:c>
      <x:c r="G363" s="17" t="str">
        <x:f>IF(E363="","",IF(E363&gt;=5,"High",IF(E363&gt;=3,"Watch","OK")))</x:f>
      </x:c>
    </x:row>
    <x:row r="364">
      <x:c r="A364" s="17" t="str">
        <x:f>IF(Students!A364="","",Students!A364)</x:f>
      </x:c>
      <x:c r="B364" s="17" t="str">
        <x:f>IF(A364="","",Students!F364)</x:f>
      </x:c>
      <x:c r="C364" s="17" t="str">
        <x:f>IF(A364="","",Students!G364)</x:f>
      </x:c>
      <x:c r="D364" s="17" t="str">
        <x:f>IF(A364="","",Students!H364)</x:f>
      </x:c>
      <x:c r="E364" s="22" t="str">
        <x:f>IF(A364="","",COUNTIFS(Late_Transactions!E:E,A364,Late_Transactions!K:K,"Recorded"))</x:f>
      </x:c>
      <x:c r="F364" s="21" t="n">
        <x:f>IFERROR(MAXIFS(Late_Transactions!C:C,Late_Transactions!E:E,A364,Late_Transactions!K:K,"Recorded"),"")</x:f>
        <x:v>0</x:v>
      </x:c>
      <x:c r="G364" s="17" t="str">
        <x:f>IF(E364="","",IF(E364&gt;=5,"High",IF(E364&gt;=3,"Watch","OK")))</x:f>
      </x:c>
    </x:row>
    <x:row r="365">
      <x:c r="A365" s="17" t="str">
        <x:f>IF(Students!A365="","",Students!A365)</x:f>
      </x:c>
      <x:c r="B365" s="17" t="str">
        <x:f>IF(A365="","",Students!F365)</x:f>
      </x:c>
      <x:c r="C365" s="17" t="str">
        <x:f>IF(A365="","",Students!G365)</x:f>
      </x:c>
      <x:c r="D365" s="17" t="str">
        <x:f>IF(A365="","",Students!H365)</x:f>
      </x:c>
      <x:c r="E365" s="22" t="str">
        <x:f>IF(A365="","",COUNTIFS(Late_Transactions!E:E,A365,Late_Transactions!K:K,"Recorded"))</x:f>
      </x:c>
      <x:c r="F365" s="21" t="n">
        <x:f>IFERROR(MAXIFS(Late_Transactions!C:C,Late_Transactions!E:E,A365,Late_Transactions!K:K,"Recorded"),"")</x:f>
        <x:v>0</x:v>
      </x:c>
      <x:c r="G365" s="17" t="str">
        <x:f>IF(E365="","",IF(E365&gt;=5,"High",IF(E365&gt;=3,"Watch","OK")))</x:f>
      </x:c>
    </x:row>
    <x:row r="366">
      <x:c r="A366" s="17" t="str">
        <x:f>IF(Students!A366="","",Students!A366)</x:f>
      </x:c>
      <x:c r="B366" s="17" t="str">
        <x:f>IF(A366="","",Students!F366)</x:f>
      </x:c>
      <x:c r="C366" s="17" t="str">
        <x:f>IF(A366="","",Students!G366)</x:f>
      </x:c>
      <x:c r="D366" s="17" t="str">
        <x:f>IF(A366="","",Students!H366)</x:f>
      </x:c>
      <x:c r="E366" s="22" t="str">
        <x:f>IF(A366="","",COUNTIFS(Late_Transactions!E:E,A366,Late_Transactions!K:K,"Recorded"))</x:f>
      </x:c>
      <x:c r="F366" s="21" t="n">
        <x:f>IFERROR(MAXIFS(Late_Transactions!C:C,Late_Transactions!E:E,A366,Late_Transactions!K:K,"Recorded"),"")</x:f>
        <x:v>0</x:v>
      </x:c>
      <x:c r="G366" s="17" t="str">
        <x:f>IF(E366="","",IF(E366&gt;=5,"High",IF(E366&gt;=3,"Watch","OK")))</x:f>
      </x:c>
    </x:row>
    <x:row r="367">
      <x:c r="A367" s="17" t="str">
        <x:f>IF(Students!A367="","",Students!A367)</x:f>
      </x:c>
      <x:c r="B367" s="17" t="str">
        <x:f>IF(A367="","",Students!F367)</x:f>
      </x:c>
      <x:c r="C367" s="17" t="str">
        <x:f>IF(A367="","",Students!G367)</x:f>
      </x:c>
      <x:c r="D367" s="17" t="str">
        <x:f>IF(A367="","",Students!H367)</x:f>
      </x:c>
      <x:c r="E367" s="22" t="str">
        <x:f>IF(A367="","",COUNTIFS(Late_Transactions!E:E,A367,Late_Transactions!K:K,"Recorded"))</x:f>
      </x:c>
      <x:c r="F367" s="21" t="n">
        <x:f>IFERROR(MAXIFS(Late_Transactions!C:C,Late_Transactions!E:E,A367,Late_Transactions!K:K,"Recorded"),"")</x:f>
        <x:v>0</x:v>
      </x:c>
      <x:c r="G367" s="17" t="str">
        <x:f>IF(E367="","",IF(E367&gt;=5,"High",IF(E367&gt;=3,"Watch","OK")))</x:f>
      </x:c>
    </x:row>
    <x:row r="368">
      <x:c r="A368" s="17" t="str">
        <x:f>IF(Students!A368="","",Students!A368)</x:f>
      </x:c>
      <x:c r="B368" s="17" t="str">
        <x:f>IF(A368="","",Students!F368)</x:f>
      </x:c>
      <x:c r="C368" s="17" t="str">
        <x:f>IF(A368="","",Students!G368)</x:f>
      </x:c>
      <x:c r="D368" s="17" t="str">
        <x:f>IF(A368="","",Students!H368)</x:f>
      </x:c>
      <x:c r="E368" s="22" t="str">
        <x:f>IF(A368="","",COUNTIFS(Late_Transactions!E:E,A368,Late_Transactions!K:K,"Recorded"))</x:f>
      </x:c>
      <x:c r="F368" s="21" t="n">
        <x:f>IFERROR(MAXIFS(Late_Transactions!C:C,Late_Transactions!E:E,A368,Late_Transactions!K:K,"Recorded"),"")</x:f>
        <x:v>0</x:v>
      </x:c>
      <x:c r="G368" s="17" t="str">
        <x:f>IF(E368="","",IF(E368&gt;=5,"High",IF(E368&gt;=3,"Watch","OK")))</x:f>
      </x:c>
    </x:row>
    <x:row r="369">
      <x:c r="A369" s="17" t="str">
        <x:f>IF(Students!A369="","",Students!A369)</x:f>
      </x:c>
      <x:c r="B369" s="17" t="str">
        <x:f>IF(A369="","",Students!F369)</x:f>
      </x:c>
      <x:c r="C369" s="17" t="str">
        <x:f>IF(A369="","",Students!G369)</x:f>
      </x:c>
      <x:c r="D369" s="17" t="str">
        <x:f>IF(A369="","",Students!H369)</x:f>
      </x:c>
      <x:c r="E369" s="22" t="str">
        <x:f>IF(A369="","",COUNTIFS(Late_Transactions!E:E,A369,Late_Transactions!K:K,"Recorded"))</x:f>
      </x:c>
      <x:c r="F369" s="21" t="n">
        <x:f>IFERROR(MAXIFS(Late_Transactions!C:C,Late_Transactions!E:E,A369,Late_Transactions!K:K,"Recorded"),"")</x:f>
        <x:v>0</x:v>
      </x:c>
      <x:c r="G369" s="17" t="str">
        <x:f>IF(E369="","",IF(E369&gt;=5,"High",IF(E369&gt;=3,"Watch","OK")))</x:f>
      </x:c>
    </x:row>
    <x:row r="370">
      <x:c r="A370" s="17" t="str">
        <x:f>IF(Students!A370="","",Students!A370)</x:f>
      </x:c>
      <x:c r="B370" s="17" t="str">
        <x:f>IF(A370="","",Students!F370)</x:f>
      </x:c>
      <x:c r="C370" s="17" t="str">
        <x:f>IF(A370="","",Students!G370)</x:f>
      </x:c>
      <x:c r="D370" s="17" t="str">
        <x:f>IF(A370="","",Students!H370)</x:f>
      </x:c>
      <x:c r="E370" s="22" t="str">
        <x:f>IF(A370="","",COUNTIFS(Late_Transactions!E:E,A370,Late_Transactions!K:K,"Recorded"))</x:f>
      </x:c>
      <x:c r="F370" s="21" t="n">
        <x:f>IFERROR(MAXIFS(Late_Transactions!C:C,Late_Transactions!E:E,A370,Late_Transactions!K:K,"Recorded"),"")</x:f>
        <x:v>0</x:v>
      </x:c>
      <x:c r="G370" s="17" t="str">
        <x:f>IF(E370="","",IF(E370&gt;=5,"High",IF(E370&gt;=3,"Watch","OK")))</x:f>
      </x:c>
    </x:row>
    <x:row r="371">
      <x:c r="A371" s="17" t="str">
        <x:f>IF(Students!A371="","",Students!A371)</x:f>
      </x:c>
      <x:c r="B371" s="17" t="str">
        <x:f>IF(A371="","",Students!F371)</x:f>
      </x:c>
      <x:c r="C371" s="17" t="str">
        <x:f>IF(A371="","",Students!G371)</x:f>
      </x:c>
      <x:c r="D371" s="17" t="str">
        <x:f>IF(A371="","",Students!H371)</x:f>
      </x:c>
      <x:c r="E371" s="22" t="str">
        <x:f>IF(A371="","",COUNTIFS(Late_Transactions!E:E,A371,Late_Transactions!K:K,"Recorded"))</x:f>
      </x:c>
      <x:c r="F371" s="21" t="n">
        <x:f>IFERROR(MAXIFS(Late_Transactions!C:C,Late_Transactions!E:E,A371,Late_Transactions!K:K,"Recorded"),"")</x:f>
        <x:v>0</x:v>
      </x:c>
      <x:c r="G371" s="17" t="str">
        <x:f>IF(E371="","",IF(E371&gt;=5,"High",IF(E371&gt;=3,"Watch","OK")))</x:f>
      </x:c>
    </x:row>
    <x:row r="372">
      <x:c r="A372" s="17" t="str">
        <x:f>IF(Students!A372="","",Students!A372)</x:f>
      </x:c>
      <x:c r="B372" s="17" t="str">
        <x:f>IF(A372="","",Students!F372)</x:f>
      </x:c>
      <x:c r="C372" s="17" t="str">
        <x:f>IF(A372="","",Students!G372)</x:f>
      </x:c>
      <x:c r="D372" s="17" t="str">
        <x:f>IF(A372="","",Students!H372)</x:f>
      </x:c>
      <x:c r="E372" s="22" t="str">
        <x:f>IF(A372="","",COUNTIFS(Late_Transactions!E:E,A372,Late_Transactions!K:K,"Recorded"))</x:f>
      </x:c>
      <x:c r="F372" s="21" t="n">
        <x:f>IFERROR(MAXIFS(Late_Transactions!C:C,Late_Transactions!E:E,A372,Late_Transactions!K:K,"Recorded"),"")</x:f>
        <x:v>0</x:v>
      </x:c>
      <x:c r="G372" s="17" t="str">
        <x:f>IF(E372="","",IF(E372&gt;=5,"High",IF(E372&gt;=3,"Watch","OK")))</x:f>
      </x:c>
    </x:row>
    <x:row r="373">
      <x:c r="A373" s="17" t="str">
        <x:f>IF(Students!A373="","",Students!A373)</x:f>
      </x:c>
      <x:c r="B373" s="17" t="str">
        <x:f>IF(A373="","",Students!F373)</x:f>
      </x:c>
      <x:c r="C373" s="17" t="str">
        <x:f>IF(A373="","",Students!G373)</x:f>
      </x:c>
      <x:c r="D373" s="17" t="str">
        <x:f>IF(A373="","",Students!H373)</x:f>
      </x:c>
      <x:c r="E373" s="22" t="str">
        <x:f>IF(A373="","",COUNTIFS(Late_Transactions!E:E,A373,Late_Transactions!K:K,"Recorded"))</x:f>
      </x:c>
      <x:c r="F373" s="21" t="n">
        <x:f>IFERROR(MAXIFS(Late_Transactions!C:C,Late_Transactions!E:E,A373,Late_Transactions!K:K,"Recorded"),"")</x:f>
        <x:v>0</x:v>
      </x:c>
      <x:c r="G373" s="17" t="str">
        <x:f>IF(E373="","",IF(E373&gt;=5,"High",IF(E373&gt;=3,"Watch","OK")))</x:f>
      </x:c>
    </x:row>
    <x:row r="374">
      <x:c r="A374" s="17" t="str">
        <x:f>IF(Students!A374="","",Students!A374)</x:f>
      </x:c>
      <x:c r="B374" s="17" t="str">
        <x:f>IF(A374="","",Students!F374)</x:f>
      </x:c>
      <x:c r="C374" s="17" t="str">
        <x:f>IF(A374="","",Students!G374)</x:f>
      </x:c>
      <x:c r="D374" s="17" t="str">
        <x:f>IF(A374="","",Students!H374)</x:f>
      </x:c>
      <x:c r="E374" s="22" t="str">
        <x:f>IF(A374="","",COUNTIFS(Late_Transactions!E:E,A374,Late_Transactions!K:K,"Recorded"))</x:f>
      </x:c>
      <x:c r="F374" s="21" t="n">
        <x:f>IFERROR(MAXIFS(Late_Transactions!C:C,Late_Transactions!E:E,A374,Late_Transactions!K:K,"Recorded"),"")</x:f>
        <x:v>0</x:v>
      </x:c>
      <x:c r="G374" s="17" t="str">
        <x:f>IF(E374="","",IF(E374&gt;=5,"High",IF(E374&gt;=3,"Watch","OK")))</x:f>
      </x:c>
    </x:row>
    <x:row r="375">
      <x:c r="A375" s="17" t="str">
        <x:f>IF(Students!A375="","",Students!A375)</x:f>
      </x:c>
      <x:c r="B375" s="17" t="str">
        <x:f>IF(A375="","",Students!F375)</x:f>
      </x:c>
      <x:c r="C375" s="17" t="str">
        <x:f>IF(A375="","",Students!G375)</x:f>
      </x:c>
      <x:c r="D375" s="17" t="str">
        <x:f>IF(A375="","",Students!H375)</x:f>
      </x:c>
      <x:c r="E375" s="22" t="str">
        <x:f>IF(A375="","",COUNTIFS(Late_Transactions!E:E,A375,Late_Transactions!K:K,"Recorded"))</x:f>
      </x:c>
      <x:c r="F375" s="21" t="n">
        <x:f>IFERROR(MAXIFS(Late_Transactions!C:C,Late_Transactions!E:E,A375,Late_Transactions!K:K,"Recorded"),"")</x:f>
        <x:v>0</x:v>
      </x:c>
      <x:c r="G375" s="17" t="str">
        <x:f>IF(E375="","",IF(E375&gt;=5,"High",IF(E375&gt;=3,"Watch","OK")))</x:f>
      </x:c>
    </x:row>
    <x:row r="376">
      <x:c r="A376" s="17" t="str">
        <x:f>IF(Students!A376="","",Students!A376)</x:f>
      </x:c>
      <x:c r="B376" s="17" t="str">
        <x:f>IF(A376="","",Students!F376)</x:f>
      </x:c>
      <x:c r="C376" s="17" t="str">
        <x:f>IF(A376="","",Students!G376)</x:f>
      </x:c>
      <x:c r="D376" s="17" t="str">
        <x:f>IF(A376="","",Students!H376)</x:f>
      </x:c>
      <x:c r="E376" s="22" t="str">
        <x:f>IF(A376="","",COUNTIFS(Late_Transactions!E:E,A376,Late_Transactions!K:K,"Recorded"))</x:f>
      </x:c>
      <x:c r="F376" s="21" t="n">
        <x:f>IFERROR(MAXIFS(Late_Transactions!C:C,Late_Transactions!E:E,A376,Late_Transactions!K:K,"Recorded"),"")</x:f>
        <x:v>0</x:v>
      </x:c>
      <x:c r="G376" s="17" t="str">
        <x:f>IF(E376="","",IF(E376&gt;=5,"High",IF(E376&gt;=3,"Watch","OK")))</x:f>
      </x:c>
    </x:row>
    <x:row r="377">
      <x:c r="A377" s="17" t="str">
        <x:f>IF(Students!A377="","",Students!A377)</x:f>
      </x:c>
      <x:c r="B377" s="17" t="str">
        <x:f>IF(A377="","",Students!F377)</x:f>
      </x:c>
      <x:c r="C377" s="17" t="str">
        <x:f>IF(A377="","",Students!G377)</x:f>
      </x:c>
      <x:c r="D377" s="17" t="str">
        <x:f>IF(A377="","",Students!H377)</x:f>
      </x:c>
      <x:c r="E377" s="22" t="str">
        <x:f>IF(A377="","",COUNTIFS(Late_Transactions!E:E,A377,Late_Transactions!K:K,"Recorded"))</x:f>
      </x:c>
      <x:c r="F377" s="21" t="n">
        <x:f>IFERROR(MAXIFS(Late_Transactions!C:C,Late_Transactions!E:E,A377,Late_Transactions!K:K,"Recorded"),"")</x:f>
        <x:v>0</x:v>
      </x:c>
      <x:c r="G377" s="17" t="str">
        <x:f>IF(E377="","",IF(E377&gt;=5,"High",IF(E377&gt;=3,"Watch","OK")))</x:f>
      </x:c>
    </x:row>
    <x:row r="378">
      <x:c r="A378" s="17" t="str">
        <x:f>IF(Students!A378="","",Students!A378)</x:f>
      </x:c>
      <x:c r="B378" s="17" t="str">
        <x:f>IF(A378="","",Students!F378)</x:f>
      </x:c>
      <x:c r="C378" s="17" t="str">
        <x:f>IF(A378="","",Students!G378)</x:f>
      </x:c>
      <x:c r="D378" s="17" t="str">
        <x:f>IF(A378="","",Students!H378)</x:f>
      </x:c>
      <x:c r="E378" s="22" t="str">
        <x:f>IF(A378="","",COUNTIFS(Late_Transactions!E:E,A378,Late_Transactions!K:K,"Recorded"))</x:f>
      </x:c>
      <x:c r="F378" s="21" t="n">
        <x:f>IFERROR(MAXIFS(Late_Transactions!C:C,Late_Transactions!E:E,A378,Late_Transactions!K:K,"Recorded"),"")</x:f>
        <x:v>0</x:v>
      </x:c>
      <x:c r="G378" s="17" t="str">
        <x:f>IF(E378="","",IF(E378&gt;=5,"High",IF(E378&gt;=3,"Watch","OK")))</x:f>
      </x:c>
    </x:row>
    <x:row r="379">
      <x:c r="A379" s="17" t="str">
        <x:f>IF(Students!A379="","",Students!A379)</x:f>
      </x:c>
      <x:c r="B379" s="17" t="str">
        <x:f>IF(A379="","",Students!F379)</x:f>
      </x:c>
      <x:c r="C379" s="17" t="str">
        <x:f>IF(A379="","",Students!G379)</x:f>
      </x:c>
      <x:c r="D379" s="17" t="str">
        <x:f>IF(A379="","",Students!H379)</x:f>
      </x:c>
      <x:c r="E379" s="22" t="str">
        <x:f>IF(A379="","",COUNTIFS(Late_Transactions!E:E,A379,Late_Transactions!K:K,"Recorded"))</x:f>
      </x:c>
      <x:c r="F379" s="21" t="n">
        <x:f>IFERROR(MAXIFS(Late_Transactions!C:C,Late_Transactions!E:E,A379,Late_Transactions!K:K,"Recorded"),"")</x:f>
        <x:v>0</x:v>
      </x:c>
      <x:c r="G379" s="17" t="str">
        <x:f>IF(E379="","",IF(E379&gt;=5,"High",IF(E379&gt;=3,"Watch","OK")))</x:f>
      </x:c>
    </x:row>
    <x:row r="380">
      <x:c r="A380" s="17" t="str">
        <x:f>IF(Students!A380="","",Students!A380)</x:f>
      </x:c>
      <x:c r="B380" s="17" t="str">
        <x:f>IF(A380="","",Students!F380)</x:f>
      </x:c>
      <x:c r="C380" s="17" t="str">
        <x:f>IF(A380="","",Students!G380)</x:f>
      </x:c>
      <x:c r="D380" s="17" t="str">
        <x:f>IF(A380="","",Students!H380)</x:f>
      </x:c>
      <x:c r="E380" s="22" t="str">
        <x:f>IF(A380="","",COUNTIFS(Late_Transactions!E:E,A380,Late_Transactions!K:K,"Recorded"))</x:f>
      </x:c>
      <x:c r="F380" s="21" t="n">
        <x:f>IFERROR(MAXIFS(Late_Transactions!C:C,Late_Transactions!E:E,A380,Late_Transactions!K:K,"Recorded"),"")</x:f>
        <x:v>0</x:v>
      </x:c>
      <x:c r="G380" s="17" t="str">
        <x:f>IF(E380="","",IF(E380&gt;=5,"High",IF(E380&gt;=3,"Watch","OK")))</x:f>
      </x:c>
    </x:row>
    <x:row r="381">
      <x:c r="A381" s="17" t="str">
        <x:f>IF(Students!A381="","",Students!A381)</x:f>
      </x:c>
      <x:c r="B381" s="17" t="str">
        <x:f>IF(A381="","",Students!F381)</x:f>
      </x:c>
      <x:c r="C381" s="17" t="str">
        <x:f>IF(A381="","",Students!G381)</x:f>
      </x:c>
      <x:c r="D381" s="17" t="str">
        <x:f>IF(A381="","",Students!H381)</x:f>
      </x:c>
      <x:c r="E381" s="22" t="str">
        <x:f>IF(A381="","",COUNTIFS(Late_Transactions!E:E,A381,Late_Transactions!K:K,"Recorded"))</x:f>
      </x:c>
      <x:c r="F381" s="21" t="n">
        <x:f>IFERROR(MAXIFS(Late_Transactions!C:C,Late_Transactions!E:E,A381,Late_Transactions!K:K,"Recorded"),"")</x:f>
        <x:v>0</x:v>
      </x:c>
      <x:c r="G381" s="17" t="str">
        <x:f>IF(E381="","",IF(E381&gt;=5,"High",IF(E381&gt;=3,"Watch","OK")))</x:f>
      </x:c>
    </x:row>
    <x:row r="382">
      <x:c r="A382" s="17" t="str">
        <x:f>IF(Students!A382="","",Students!A382)</x:f>
      </x:c>
      <x:c r="B382" s="17" t="str">
        <x:f>IF(A382="","",Students!F382)</x:f>
      </x:c>
      <x:c r="C382" s="17" t="str">
        <x:f>IF(A382="","",Students!G382)</x:f>
      </x:c>
      <x:c r="D382" s="17" t="str">
        <x:f>IF(A382="","",Students!H382)</x:f>
      </x:c>
      <x:c r="E382" s="22" t="str">
        <x:f>IF(A382="","",COUNTIFS(Late_Transactions!E:E,A382,Late_Transactions!K:K,"Recorded"))</x:f>
      </x:c>
      <x:c r="F382" s="21" t="n">
        <x:f>IFERROR(MAXIFS(Late_Transactions!C:C,Late_Transactions!E:E,A382,Late_Transactions!K:K,"Recorded"),"")</x:f>
        <x:v>0</x:v>
      </x:c>
      <x:c r="G382" s="17" t="str">
        <x:f>IF(E382="","",IF(E382&gt;=5,"High",IF(E382&gt;=3,"Watch","OK")))</x:f>
      </x:c>
    </x:row>
    <x:row r="383">
      <x:c r="A383" s="17" t="str">
        <x:f>IF(Students!A383="","",Students!A383)</x:f>
      </x:c>
      <x:c r="B383" s="17" t="str">
        <x:f>IF(A383="","",Students!F383)</x:f>
      </x:c>
      <x:c r="C383" s="17" t="str">
        <x:f>IF(A383="","",Students!G383)</x:f>
      </x:c>
      <x:c r="D383" s="17" t="str">
        <x:f>IF(A383="","",Students!H383)</x:f>
      </x:c>
      <x:c r="E383" s="22" t="str">
        <x:f>IF(A383="","",COUNTIFS(Late_Transactions!E:E,A383,Late_Transactions!K:K,"Recorded"))</x:f>
      </x:c>
      <x:c r="F383" s="21" t="n">
        <x:f>IFERROR(MAXIFS(Late_Transactions!C:C,Late_Transactions!E:E,A383,Late_Transactions!K:K,"Recorded"),"")</x:f>
        <x:v>0</x:v>
      </x:c>
      <x:c r="G383" s="17" t="str">
        <x:f>IF(E383="","",IF(E383&gt;=5,"High",IF(E383&gt;=3,"Watch","OK")))</x:f>
      </x:c>
    </x:row>
    <x:row r="384">
      <x:c r="A384" s="17" t="str">
        <x:f>IF(Students!A384="","",Students!A384)</x:f>
      </x:c>
      <x:c r="B384" s="17" t="str">
        <x:f>IF(A384="","",Students!F384)</x:f>
      </x:c>
      <x:c r="C384" s="17" t="str">
        <x:f>IF(A384="","",Students!G384)</x:f>
      </x:c>
      <x:c r="D384" s="17" t="str">
        <x:f>IF(A384="","",Students!H384)</x:f>
      </x:c>
      <x:c r="E384" s="22" t="str">
        <x:f>IF(A384="","",COUNTIFS(Late_Transactions!E:E,A384,Late_Transactions!K:K,"Recorded"))</x:f>
      </x:c>
      <x:c r="F384" s="21" t="n">
        <x:f>IFERROR(MAXIFS(Late_Transactions!C:C,Late_Transactions!E:E,A384,Late_Transactions!K:K,"Recorded"),"")</x:f>
        <x:v>0</x:v>
      </x:c>
      <x:c r="G384" s="17" t="str">
        <x:f>IF(E384="","",IF(E384&gt;=5,"High",IF(E384&gt;=3,"Watch","OK")))</x:f>
      </x:c>
    </x:row>
    <x:row r="385">
      <x:c r="A385" s="17" t="str">
        <x:f>IF(Students!A385="","",Students!A385)</x:f>
      </x:c>
      <x:c r="B385" s="17" t="str">
        <x:f>IF(A385="","",Students!F385)</x:f>
      </x:c>
      <x:c r="C385" s="17" t="str">
        <x:f>IF(A385="","",Students!G385)</x:f>
      </x:c>
      <x:c r="D385" s="17" t="str">
        <x:f>IF(A385="","",Students!H385)</x:f>
      </x:c>
      <x:c r="E385" s="22" t="str">
        <x:f>IF(A385="","",COUNTIFS(Late_Transactions!E:E,A385,Late_Transactions!K:K,"Recorded"))</x:f>
      </x:c>
      <x:c r="F385" s="21" t="n">
        <x:f>IFERROR(MAXIFS(Late_Transactions!C:C,Late_Transactions!E:E,A385,Late_Transactions!K:K,"Recorded"),"")</x:f>
        <x:v>0</x:v>
      </x:c>
      <x:c r="G385" s="17" t="str">
        <x:f>IF(E385="","",IF(E385&gt;=5,"High",IF(E385&gt;=3,"Watch","OK")))</x:f>
      </x:c>
    </x:row>
    <x:row r="386">
      <x:c r="A386" s="17" t="str">
        <x:f>IF(Students!A386="","",Students!A386)</x:f>
      </x:c>
      <x:c r="B386" s="17" t="str">
        <x:f>IF(A386="","",Students!F386)</x:f>
      </x:c>
      <x:c r="C386" s="17" t="str">
        <x:f>IF(A386="","",Students!G386)</x:f>
      </x:c>
      <x:c r="D386" s="17" t="str">
        <x:f>IF(A386="","",Students!H386)</x:f>
      </x:c>
      <x:c r="E386" s="22" t="str">
        <x:f>IF(A386="","",COUNTIFS(Late_Transactions!E:E,A386,Late_Transactions!K:K,"Recorded"))</x:f>
      </x:c>
      <x:c r="F386" s="21" t="n">
        <x:f>IFERROR(MAXIFS(Late_Transactions!C:C,Late_Transactions!E:E,A386,Late_Transactions!K:K,"Recorded"),"")</x:f>
        <x:v>0</x:v>
      </x:c>
      <x:c r="G386" s="17" t="str">
        <x:f>IF(E386="","",IF(E386&gt;=5,"High",IF(E386&gt;=3,"Watch","OK")))</x:f>
      </x:c>
    </x:row>
    <x:row r="387">
      <x:c r="A387" s="17" t="str">
        <x:f>IF(Students!A387="","",Students!A387)</x:f>
      </x:c>
      <x:c r="B387" s="17" t="str">
        <x:f>IF(A387="","",Students!F387)</x:f>
      </x:c>
      <x:c r="C387" s="17" t="str">
        <x:f>IF(A387="","",Students!G387)</x:f>
      </x:c>
      <x:c r="D387" s="17" t="str">
        <x:f>IF(A387="","",Students!H387)</x:f>
      </x:c>
      <x:c r="E387" s="22" t="str">
        <x:f>IF(A387="","",COUNTIFS(Late_Transactions!E:E,A387,Late_Transactions!K:K,"Recorded"))</x:f>
      </x:c>
      <x:c r="F387" s="21" t="n">
        <x:f>IFERROR(MAXIFS(Late_Transactions!C:C,Late_Transactions!E:E,A387,Late_Transactions!K:K,"Recorded"),"")</x:f>
        <x:v>0</x:v>
      </x:c>
      <x:c r="G387" s="17" t="str">
        <x:f>IF(E387="","",IF(E387&gt;=5,"High",IF(E387&gt;=3,"Watch","OK")))</x:f>
      </x:c>
    </x:row>
    <x:row r="388">
      <x:c r="A388" s="17" t="str">
        <x:f>IF(Students!A388="","",Students!A388)</x:f>
      </x:c>
      <x:c r="B388" s="17" t="str">
        <x:f>IF(A388="","",Students!F388)</x:f>
      </x:c>
      <x:c r="C388" s="17" t="str">
        <x:f>IF(A388="","",Students!G388)</x:f>
      </x:c>
      <x:c r="D388" s="17" t="str">
        <x:f>IF(A388="","",Students!H388)</x:f>
      </x:c>
      <x:c r="E388" s="22" t="str">
        <x:f>IF(A388="","",COUNTIFS(Late_Transactions!E:E,A388,Late_Transactions!K:K,"Recorded"))</x:f>
      </x:c>
      <x:c r="F388" s="21" t="n">
        <x:f>IFERROR(MAXIFS(Late_Transactions!C:C,Late_Transactions!E:E,A388,Late_Transactions!K:K,"Recorded"),"")</x:f>
        <x:v>0</x:v>
      </x:c>
      <x:c r="G388" s="17" t="str">
        <x:f>IF(E388="","",IF(E388&gt;=5,"High",IF(E388&gt;=3,"Watch","OK")))</x:f>
      </x:c>
    </x:row>
    <x:row r="389">
      <x:c r="A389" s="17" t="str">
        <x:f>IF(Students!A389="","",Students!A389)</x:f>
      </x:c>
      <x:c r="B389" s="17" t="str">
        <x:f>IF(A389="","",Students!F389)</x:f>
      </x:c>
      <x:c r="C389" s="17" t="str">
        <x:f>IF(A389="","",Students!G389)</x:f>
      </x:c>
      <x:c r="D389" s="17" t="str">
        <x:f>IF(A389="","",Students!H389)</x:f>
      </x:c>
      <x:c r="E389" s="22" t="str">
        <x:f>IF(A389="","",COUNTIFS(Late_Transactions!E:E,A389,Late_Transactions!K:K,"Recorded"))</x:f>
      </x:c>
      <x:c r="F389" s="21" t="n">
        <x:f>IFERROR(MAXIFS(Late_Transactions!C:C,Late_Transactions!E:E,A389,Late_Transactions!K:K,"Recorded"),"")</x:f>
        <x:v>0</x:v>
      </x:c>
      <x:c r="G389" s="17" t="str">
        <x:f>IF(E389="","",IF(E389&gt;=5,"High",IF(E389&gt;=3,"Watch","OK")))</x:f>
      </x:c>
    </x:row>
    <x:row r="390">
      <x:c r="A390" s="17" t="str">
        <x:f>IF(Students!A390="","",Students!A390)</x:f>
      </x:c>
      <x:c r="B390" s="17" t="str">
        <x:f>IF(A390="","",Students!F390)</x:f>
      </x:c>
      <x:c r="C390" s="17" t="str">
        <x:f>IF(A390="","",Students!G390)</x:f>
      </x:c>
      <x:c r="D390" s="17" t="str">
        <x:f>IF(A390="","",Students!H390)</x:f>
      </x:c>
      <x:c r="E390" s="22" t="str">
        <x:f>IF(A390="","",COUNTIFS(Late_Transactions!E:E,A390,Late_Transactions!K:K,"Recorded"))</x:f>
      </x:c>
      <x:c r="F390" s="21" t="n">
        <x:f>IFERROR(MAXIFS(Late_Transactions!C:C,Late_Transactions!E:E,A390,Late_Transactions!K:K,"Recorded"),"")</x:f>
        <x:v>0</x:v>
      </x:c>
      <x:c r="G390" s="17" t="str">
        <x:f>IF(E390="","",IF(E390&gt;=5,"High",IF(E390&gt;=3,"Watch","OK")))</x:f>
      </x:c>
    </x:row>
    <x:row r="391">
      <x:c r="A391" s="17" t="str">
        <x:f>IF(Students!A391="","",Students!A391)</x:f>
      </x:c>
      <x:c r="B391" s="17" t="str">
        <x:f>IF(A391="","",Students!F391)</x:f>
      </x:c>
      <x:c r="C391" s="17" t="str">
        <x:f>IF(A391="","",Students!G391)</x:f>
      </x:c>
      <x:c r="D391" s="17" t="str">
        <x:f>IF(A391="","",Students!H391)</x:f>
      </x:c>
      <x:c r="E391" s="22" t="str">
        <x:f>IF(A391="","",COUNTIFS(Late_Transactions!E:E,A391,Late_Transactions!K:K,"Recorded"))</x:f>
      </x:c>
      <x:c r="F391" s="21" t="n">
        <x:f>IFERROR(MAXIFS(Late_Transactions!C:C,Late_Transactions!E:E,A391,Late_Transactions!K:K,"Recorded"),"")</x:f>
        <x:v>0</x:v>
      </x:c>
      <x:c r="G391" s="17" t="str">
        <x:f>IF(E391="","",IF(E391&gt;=5,"High",IF(E391&gt;=3,"Watch","OK")))</x:f>
      </x:c>
    </x:row>
    <x:row r="392">
      <x:c r="A392" s="17" t="str">
        <x:f>IF(Students!A392="","",Students!A392)</x:f>
      </x:c>
      <x:c r="B392" s="17" t="str">
        <x:f>IF(A392="","",Students!F392)</x:f>
      </x:c>
      <x:c r="C392" s="17" t="str">
        <x:f>IF(A392="","",Students!G392)</x:f>
      </x:c>
      <x:c r="D392" s="17" t="str">
        <x:f>IF(A392="","",Students!H392)</x:f>
      </x:c>
      <x:c r="E392" s="22" t="str">
        <x:f>IF(A392="","",COUNTIFS(Late_Transactions!E:E,A392,Late_Transactions!K:K,"Recorded"))</x:f>
      </x:c>
      <x:c r="F392" s="21" t="n">
        <x:f>IFERROR(MAXIFS(Late_Transactions!C:C,Late_Transactions!E:E,A392,Late_Transactions!K:K,"Recorded"),"")</x:f>
        <x:v>0</x:v>
      </x:c>
      <x:c r="G392" s="17" t="str">
        <x:f>IF(E392="","",IF(E392&gt;=5,"High",IF(E392&gt;=3,"Watch","OK")))</x:f>
      </x:c>
    </x:row>
    <x:row r="393">
      <x:c r="A393" s="17" t="str">
        <x:f>IF(Students!A393="","",Students!A393)</x:f>
      </x:c>
      <x:c r="B393" s="17" t="str">
        <x:f>IF(A393="","",Students!F393)</x:f>
      </x:c>
      <x:c r="C393" s="17" t="str">
        <x:f>IF(A393="","",Students!G393)</x:f>
      </x:c>
      <x:c r="D393" s="17" t="str">
        <x:f>IF(A393="","",Students!H393)</x:f>
      </x:c>
      <x:c r="E393" s="22" t="str">
        <x:f>IF(A393="","",COUNTIFS(Late_Transactions!E:E,A393,Late_Transactions!K:K,"Recorded"))</x:f>
      </x:c>
      <x:c r="F393" s="21" t="n">
        <x:f>IFERROR(MAXIFS(Late_Transactions!C:C,Late_Transactions!E:E,A393,Late_Transactions!K:K,"Recorded"),"")</x:f>
        <x:v>0</x:v>
      </x:c>
      <x:c r="G393" s="17" t="str">
        <x:f>IF(E393="","",IF(E393&gt;=5,"High",IF(E393&gt;=3,"Watch","OK")))</x:f>
      </x:c>
    </x:row>
    <x:row r="394">
      <x:c r="A394" s="17" t="str">
        <x:f>IF(Students!A394="","",Students!A394)</x:f>
      </x:c>
      <x:c r="B394" s="17" t="str">
        <x:f>IF(A394="","",Students!F394)</x:f>
      </x:c>
      <x:c r="C394" s="17" t="str">
        <x:f>IF(A394="","",Students!G394)</x:f>
      </x:c>
      <x:c r="D394" s="17" t="str">
        <x:f>IF(A394="","",Students!H394)</x:f>
      </x:c>
      <x:c r="E394" s="22" t="str">
        <x:f>IF(A394="","",COUNTIFS(Late_Transactions!E:E,A394,Late_Transactions!K:K,"Recorded"))</x:f>
      </x:c>
      <x:c r="F394" s="21" t="n">
        <x:f>IFERROR(MAXIFS(Late_Transactions!C:C,Late_Transactions!E:E,A394,Late_Transactions!K:K,"Recorded"),"")</x:f>
        <x:v>0</x:v>
      </x:c>
      <x:c r="G394" s="17" t="str">
        <x:f>IF(E394="","",IF(E394&gt;=5,"High",IF(E394&gt;=3,"Watch","OK")))</x:f>
      </x:c>
    </x:row>
    <x:row r="395">
      <x:c r="A395" s="17" t="str">
        <x:f>IF(Students!A395="","",Students!A395)</x:f>
      </x:c>
      <x:c r="B395" s="17" t="str">
        <x:f>IF(A395="","",Students!F395)</x:f>
      </x:c>
      <x:c r="C395" s="17" t="str">
        <x:f>IF(A395="","",Students!G395)</x:f>
      </x:c>
      <x:c r="D395" s="17" t="str">
        <x:f>IF(A395="","",Students!H395)</x:f>
      </x:c>
      <x:c r="E395" s="22" t="str">
        <x:f>IF(A395="","",COUNTIFS(Late_Transactions!E:E,A395,Late_Transactions!K:K,"Recorded"))</x:f>
      </x:c>
      <x:c r="F395" s="21" t="n">
        <x:f>IFERROR(MAXIFS(Late_Transactions!C:C,Late_Transactions!E:E,A395,Late_Transactions!K:K,"Recorded"),"")</x:f>
        <x:v>0</x:v>
      </x:c>
      <x:c r="G395" s="17" t="str">
        <x:f>IF(E395="","",IF(E395&gt;=5,"High",IF(E395&gt;=3,"Watch","OK")))</x:f>
      </x:c>
    </x:row>
    <x:row r="396">
      <x:c r="A396" s="17" t="str">
        <x:f>IF(Students!A396="","",Students!A396)</x:f>
      </x:c>
      <x:c r="B396" s="17" t="str">
        <x:f>IF(A396="","",Students!F396)</x:f>
      </x:c>
      <x:c r="C396" s="17" t="str">
        <x:f>IF(A396="","",Students!G396)</x:f>
      </x:c>
      <x:c r="D396" s="17" t="str">
        <x:f>IF(A396="","",Students!H396)</x:f>
      </x:c>
      <x:c r="E396" s="22" t="str">
        <x:f>IF(A396="","",COUNTIFS(Late_Transactions!E:E,A396,Late_Transactions!K:K,"Recorded"))</x:f>
      </x:c>
      <x:c r="F396" s="21" t="n">
        <x:f>IFERROR(MAXIFS(Late_Transactions!C:C,Late_Transactions!E:E,A396,Late_Transactions!K:K,"Recorded"),"")</x:f>
        <x:v>0</x:v>
      </x:c>
      <x:c r="G396" s="17" t="str">
        <x:f>IF(E396="","",IF(E396&gt;=5,"High",IF(E396&gt;=3,"Watch","OK")))</x:f>
      </x:c>
    </x:row>
    <x:row r="397">
      <x:c r="A397" s="17" t="str">
        <x:f>IF(Students!A397="","",Students!A397)</x:f>
      </x:c>
      <x:c r="B397" s="17" t="str">
        <x:f>IF(A397="","",Students!F397)</x:f>
      </x:c>
      <x:c r="C397" s="17" t="str">
        <x:f>IF(A397="","",Students!G397)</x:f>
      </x:c>
      <x:c r="D397" s="17" t="str">
        <x:f>IF(A397="","",Students!H397)</x:f>
      </x:c>
      <x:c r="E397" s="22" t="str">
        <x:f>IF(A397="","",COUNTIFS(Late_Transactions!E:E,A397,Late_Transactions!K:K,"Recorded"))</x:f>
      </x:c>
      <x:c r="F397" s="21" t="n">
        <x:f>IFERROR(MAXIFS(Late_Transactions!C:C,Late_Transactions!E:E,A397,Late_Transactions!K:K,"Recorded"),"")</x:f>
        <x:v>0</x:v>
      </x:c>
      <x:c r="G397" s="17" t="str">
        <x:f>IF(E397="","",IF(E397&gt;=5,"High",IF(E397&gt;=3,"Watch","OK")))</x:f>
      </x:c>
    </x:row>
    <x:row r="398">
      <x:c r="A398" s="17" t="str">
        <x:f>IF(Students!A398="","",Students!A398)</x:f>
      </x:c>
      <x:c r="B398" s="17" t="str">
        <x:f>IF(A398="","",Students!F398)</x:f>
      </x:c>
      <x:c r="C398" s="17" t="str">
        <x:f>IF(A398="","",Students!G398)</x:f>
      </x:c>
      <x:c r="D398" s="17" t="str">
        <x:f>IF(A398="","",Students!H398)</x:f>
      </x:c>
      <x:c r="E398" s="22" t="str">
        <x:f>IF(A398="","",COUNTIFS(Late_Transactions!E:E,A398,Late_Transactions!K:K,"Recorded"))</x:f>
      </x:c>
      <x:c r="F398" s="21" t="n">
        <x:f>IFERROR(MAXIFS(Late_Transactions!C:C,Late_Transactions!E:E,A398,Late_Transactions!K:K,"Recorded"),"")</x:f>
        <x:v>0</x:v>
      </x:c>
      <x:c r="G398" s="17" t="str">
        <x:f>IF(E398="","",IF(E398&gt;=5,"High",IF(E398&gt;=3,"Watch","OK")))</x:f>
      </x:c>
    </x:row>
    <x:row r="399">
      <x:c r="A399" s="17" t="str">
        <x:f>IF(Students!A399="","",Students!A399)</x:f>
      </x:c>
      <x:c r="B399" s="17" t="str">
        <x:f>IF(A399="","",Students!F399)</x:f>
      </x:c>
      <x:c r="C399" s="17" t="str">
        <x:f>IF(A399="","",Students!G399)</x:f>
      </x:c>
      <x:c r="D399" s="17" t="str">
        <x:f>IF(A399="","",Students!H399)</x:f>
      </x:c>
      <x:c r="E399" s="22" t="str">
        <x:f>IF(A399="","",COUNTIFS(Late_Transactions!E:E,A399,Late_Transactions!K:K,"Recorded"))</x:f>
      </x:c>
      <x:c r="F399" s="21" t="n">
        <x:f>IFERROR(MAXIFS(Late_Transactions!C:C,Late_Transactions!E:E,A399,Late_Transactions!K:K,"Recorded"),"")</x:f>
        <x:v>0</x:v>
      </x:c>
      <x:c r="G399" s="17" t="str">
        <x:f>IF(E399="","",IF(E399&gt;=5,"High",IF(E399&gt;=3,"Watch","OK")))</x:f>
      </x:c>
    </x:row>
    <x:row r="400">
      <x:c r="A400" s="17" t="str">
        <x:f>IF(Students!A400="","",Students!A400)</x:f>
      </x:c>
      <x:c r="B400" s="17" t="str">
        <x:f>IF(A400="","",Students!F400)</x:f>
      </x:c>
      <x:c r="C400" s="17" t="str">
        <x:f>IF(A400="","",Students!G400)</x:f>
      </x:c>
      <x:c r="D400" s="17" t="str">
        <x:f>IF(A400="","",Students!H400)</x:f>
      </x:c>
      <x:c r="E400" s="22" t="str">
        <x:f>IF(A400="","",COUNTIFS(Late_Transactions!E:E,A400,Late_Transactions!K:K,"Recorded"))</x:f>
      </x:c>
      <x:c r="F400" s="21" t="n">
        <x:f>IFERROR(MAXIFS(Late_Transactions!C:C,Late_Transactions!E:E,A400,Late_Transactions!K:K,"Recorded"),"")</x:f>
        <x:v>0</x:v>
      </x:c>
      <x:c r="G400" s="17" t="str">
        <x:f>IF(E400="","",IF(E400&gt;=5,"High",IF(E400&gt;=3,"Watch","OK")))</x:f>
      </x:c>
    </x:row>
    <x:row r="401">
      <x:c r="A401" s="17" t="str">
        <x:f>IF(Students!A401="","",Students!A401)</x:f>
      </x:c>
      <x:c r="B401" s="17" t="str">
        <x:f>IF(A401="","",Students!F401)</x:f>
      </x:c>
      <x:c r="C401" s="17" t="str">
        <x:f>IF(A401="","",Students!G401)</x:f>
      </x:c>
      <x:c r="D401" s="17" t="str">
        <x:f>IF(A401="","",Students!H401)</x:f>
      </x:c>
      <x:c r="E401" s="22" t="str">
        <x:f>IF(A401="","",COUNTIFS(Late_Transactions!E:E,A401,Late_Transactions!K:K,"Recorded"))</x:f>
      </x:c>
      <x:c r="F401" s="21" t="n">
        <x:f>IFERROR(MAXIFS(Late_Transactions!C:C,Late_Transactions!E:E,A401,Late_Transactions!K:K,"Recorded"),"")</x:f>
        <x:v>0</x:v>
      </x:c>
      <x:c r="G401" s="17" t="str">
        <x:f>IF(E401="","",IF(E401&gt;=5,"High",IF(E401&gt;=3,"Watch","OK")))</x:f>
      </x:c>
    </x:row>
    <x:row r="402">
      <x:c r="A402" s="17" t="str">
        <x:f>IF(Students!A402="","",Students!A402)</x:f>
      </x:c>
      <x:c r="B402" s="17" t="str">
        <x:f>IF(A402="","",Students!F402)</x:f>
      </x:c>
      <x:c r="C402" s="17" t="str">
        <x:f>IF(A402="","",Students!G402)</x:f>
      </x:c>
      <x:c r="D402" s="17" t="str">
        <x:f>IF(A402="","",Students!H402)</x:f>
      </x:c>
      <x:c r="E402" s="22" t="str">
        <x:f>IF(A402="","",COUNTIFS(Late_Transactions!E:E,A402,Late_Transactions!K:K,"Recorded"))</x:f>
      </x:c>
      <x:c r="F402" s="21" t="n">
        <x:f>IFERROR(MAXIFS(Late_Transactions!C:C,Late_Transactions!E:E,A402,Late_Transactions!K:K,"Recorded"),"")</x:f>
        <x:v>0</x:v>
      </x:c>
      <x:c r="G402" s="17" t="str">
        <x:f>IF(E402="","",IF(E402&gt;=5,"High",IF(E402&gt;=3,"Watch","OK")))</x:f>
      </x:c>
    </x:row>
    <x:row r="403">
      <x:c r="A403" s="17" t="str">
        <x:f>IF(Students!A403="","",Students!A403)</x:f>
      </x:c>
      <x:c r="B403" s="17" t="str">
        <x:f>IF(A403="","",Students!F403)</x:f>
      </x:c>
      <x:c r="C403" s="17" t="str">
        <x:f>IF(A403="","",Students!G403)</x:f>
      </x:c>
      <x:c r="D403" s="17" t="str">
        <x:f>IF(A403="","",Students!H403)</x:f>
      </x:c>
      <x:c r="E403" s="22" t="str">
        <x:f>IF(A403="","",COUNTIFS(Late_Transactions!E:E,A403,Late_Transactions!K:K,"Recorded"))</x:f>
      </x:c>
      <x:c r="F403" s="21" t="n">
        <x:f>IFERROR(MAXIFS(Late_Transactions!C:C,Late_Transactions!E:E,A403,Late_Transactions!K:K,"Recorded"),"")</x:f>
        <x:v>0</x:v>
      </x:c>
      <x:c r="G403" s="17" t="str">
        <x:f>IF(E403="","",IF(E403&gt;=5,"High",IF(E403&gt;=3,"Watch","OK")))</x:f>
      </x:c>
    </x:row>
    <x:row r="404">
      <x:c r="A404" s="17" t="str">
        <x:f>IF(Students!A404="","",Students!A404)</x:f>
      </x:c>
      <x:c r="B404" s="17" t="str">
        <x:f>IF(A404="","",Students!F404)</x:f>
      </x:c>
      <x:c r="C404" s="17" t="str">
        <x:f>IF(A404="","",Students!G404)</x:f>
      </x:c>
      <x:c r="D404" s="17" t="str">
        <x:f>IF(A404="","",Students!H404)</x:f>
      </x:c>
      <x:c r="E404" s="22" t="str">
        <x:f>IF(A404="","",COUNTIFS(Late_Transactions!E:E,A404,Late_Transactions!K:K,"Recorded"))</x:f>
      </x:c>
      <x:c r="F404" s="21" t="n">
        <x:f>IFERROR(MAXIFS(Late_Transactions!C:C,Late_Transactions!E:E,A404,Late_Transactions!K:K,"Recorded"),"")</x:f>
        <x:v>0</x:v>
      </x:c>
      <x:c r="G404" s="17" t="str">
        <x:f>IF(E404="","",IF(E404&gt;=5,"High",IF(E404&gt;=3,"Watch","OK")))</x:f>
      </x:c>
    </x:row>
    <x:row r="405">
      <x:c r="A405" s="17" t="str">
        <x:f>IF(Students!A405="","",Students!A405)</x:f>
      </x:c>
      <x:c r="B405" s="17" t="str">
        <x:f>IF(A405="","",Students!F405)</x:f>
      </x:c>
      <x:c r="C405" s="17" t="str">
        <x:f>IF(A405="","",Students!G405)</x:f>
      </x:c>
      <x:c r="D405" s="17" t="str">
        <x:f>IF(A405="","",Students!H405)</x:f>
      </x:c>
      <x:c r="E405" s="22" t="str">
        <x:f>IF(A405="","",COUNTIFS(Late_Transactions!E:E,A405,Late_Transactions!K:K,"Recorded"))</x:f>
      </x:c>
      <x:c r="F405" s="21" t="n">
        <x:f>IFERROR(MAXIFS(Late_Transactions!C:C,Late_Transactions!E:E,A405,Late_Transactions!K:K,"Recorded"),"")</x:f>
        <x:v>0</x:v>
      </x:c>
      <x:c r="G405" s="17" t="str">
        <x:f>IF(E405="","",IF(E405&gt;=5,"High",IF(E405&gt;=3,"Watch","OK")))</x:f>
      </x:c>
    </x:row>
    <x:row r="406">
      <x:c r="A406" s="17" t="str">
        <x:f>IF(Students!A406="","",Students!A406)</x:f>
      </x:c>
      <x:c r="B406" s="17" t="str">
        <x:f>IF(A406="","",Students!F406)</x:f>
      </x:c>
      <x:c r="C406" s="17" t="str">
        <x:f>IF(A406="","",Students!G406)</x:f>
      </x:c>
      <x:c r="D406" s="17" t="str">
        <x:f>IF(A406="","",Students!H406)</x:f>
      </x:c>
      <x:c r="E406" s="22" t="str">
        <x:f>IF(A406="","",COUNTIFS(Late_Transactions!E:E,A406,Late_Transactions!K:K,"Recorded"))</x:f>
      </x:c>
      <x:c r="F406" s="21" t="n">
        <x:f>IFERROR(MAXIFS(Late_Transactions!C:C,Late_Transactions!E:E,A406,Late_Transactions!K:K,"Recorded"),"")</x:f>
        <x:v>0</x:v>
      </x:c>
      <x:c r="G406" s="17" t="str">
        <x:f>IF(E406="","",IF(E406&gt;=5,"High",IF(E406&gt;=3,"Watch","OK")))</x:f>
      </x:c>
    </x:row>
    <x:row r="407">
      <x:c r="A407" s="17" t="str">
        <x:f>IF(Students!A407="","",Students!A407)</x:f>
      </x:c>
      <x:c r="B407" s="17" t="str">
        <x:f>IF(A407="","",Students!F407)</x:f>
      </x:c>
      <x:c r="C407" s="17" t="str">
        <x:f>IF(A407="","",Students!G407)</x:f>
      </x:c>
      <x:c r="D407" s="17" t="str">
        <x:f>IF(A407="","",Students!H407)</x:f>
      </x:c>
      <x:c r="E407" s="22" t="str">
        <x:f>IF(A407="","",COUNTIFS(Late_Transactions!E:E,A407,Late_Transactions!K:K,"Recorded"))</x:f>
      </x:c>
      <x:c r="F407" s="21" t="n">
        <x:f>IFERROR(MAXIFS(Late_Transactions!C:C,Late_Transactions!E:E,A407,Late_Transactions!K:K,"Recorded"),"")</x:f>
        <x:v>0</x:v>
      </x:c>
      <x:c r="G407" s="17" t="str">
        <x:f>IF(E407="","",IF(E407&gt;=5,"High",IF(E407&gt;=3,"Watch","OK")))</x:f>
      </x:c>
    </x:row>
    <x:row r="408">
      <x:c r="A408" s="17" t="str">
        <x:f>IF(Students!A408="","",Students!A408)</x:f>
      </x:c>
      <x:c r="B408" s="17" t="str">
        <x:f>IF(A408="","",Students!F408)</x:f>
      </x:c>
      <x:c r="C408" s="17" t="str">
        <x:f>IF(A408="","",Students!G408)</x:f>
      </x:c>
      <x:c r="D408" s="17" t="str">
        <x:f>IF(A408="","",Students!H408)</x:f>
      </x:c>
      <x:c r="E408" s="22" t="str">
        <x:f>IF(A408="","",COUNTIFS(Late_Transactions!E:E,A408,Late_Transactions!K:K,"Recorded"))</x:f>
      </x:c>
      <x:c r="F408" s="21" t="n">
        <x:f>IFERROR(MAXIFS(Late_Transactions!C:C,Late_Transactions!E:E,A408,Late_Transactions!K:K,"Recorded"),"")</x:f>
        <x:v>0</x:v>
      </x:c>
      <x:c r="G408" s="17" t="str">
        <x:f>IF(E408="","",IF(E408&gt;=5,"High",IF(E408&gt;=3,"Watch","OK")))</x:f>
      </x:c>
    </x:row>
    <x:row r="409">
      <x:c r="A409" s="17" t="str">
        <x:f>IF(Students!A409="","",Students!A409)</x:f>
      </x:c>
      <x:c r="B409" s="17" t="str">
        <x:f>IF(A409="","",Students!F409)</x:f>
      </x:c>
      <x:c r="C409" s="17" t="str">
        <x:f>IF(A409="","",Students!G409)</x:f>
      </x:c>
      <x:c r="D409" s="17" t="str">
        <x:f>IF(A409="","",Students!H409)</x:f>
      </x:c>
      <x:c r="E409" s="22" t="str">
        <x:f>IF(A409="","",COUNTIFS(Late_Transactions!E:E,A409,Late_Transactions!K:K,"Recorded"))</x:f>
      </x:c>
      <x:c r="F409" s="21" t="n">
        <x:f>IFERROR(MAXIFS(Late_Transactions!C:C,Late_Transactions!E:E,A409,Late_Transactions!K:K,"Recorded"),"")</x:f>
        <x:v>0</x:v>
      </x:c>
      <x:c r="G409" s="17" t="str">
        <x:f>IF(E409="","",IF(E409&gt;=5,"High",IF(E409&gt;=3,"Watch","OK")))</x:f>
      </x:c>
    </x:row>
    <x:row r="410">
      <x:c r="A410" s="17" t="str">
        <x:f>IF(Students!A410="","",Students!A410)</x:f>
      </x:c>
      <x:c r="B410" s="17" t="str">
        <x:f>IF(A410="","",Students!F410)</x:f>
      </x:c>
      <x:c r="C410" s="17" t="str">
        <x:f>IF(A410="","",Students!G410)</x:f>
      </x:c>
      <x:c r="D410" s="17" t="str">
        <x:f>IF(A410="","",Students!H410)</x:f>
      </x:c>
      <x:c r="E410" s="22" t="str">
        <x:f>IF(A410="","",COUNTIFS(Late_Transactions!E:E,A410,Late_Transactions!K:K,"Recorded"))</x:f>
      </x:c>
      <x:c r="F410" s="21" t="n">
        <x:f>IFERROR(MAXIFS(Late_Transactions!C:C,Late_Transactions!E:E,A410,Late_Transactions!K:K,"Recorded"),"")</x:f>
        <x:v>0</x:v>
      </x:c>
      <x:c r="G410" s="17" t="str">
        <x:f>IF(E410="","",IF(E410&gt;=5,"High",IF(E410&gt;=3,"Watch","OK")))</x:f>
      </x:c>
    </x:row>
    <x:row r="411">
      <x:c r="A411" s="17" t="str">
        <x:f>IF(Students!A411="","",Students!A411)</x:f>
      </x:c>
      <x:c r="B411" s="17" t="str">
        <x:f>IF(A411="","",Students!F411)</x:f>
      </x:c>
      <x:c r="C411" s="17" t="str">
        <x:f>IF(A411="","",Students!G411)</x:f>
      </x:c>
      <x:c r="D411" s="17" t="str">
        <x:f>IF(A411="","",Students!H411)</x:f>
      </x:c>
      <x:c r="E411" s="22" t="str">
        <x:f>IF(A411="","",COUNTIFS(Late_Transactions!E:E,A411,Late_Transactions!K:K,"Recorded"))</x:f>
      </x:c>
      <x:c r="F411" s="21" t="n">
        <x:f>IFERROR(MAXIFS(Late_Transactions!C:C,Late_Transactions!E:E,A411,Late_Transactions!K:K,"Recorded"),"")</x:f>
        <x:v>0</x:v>
      </x:c>
      <x:c r="G411" s="17" t="str">
        <x:f>IF(E411="","",IF(E411&gt;=5,"High",IF(E411&gt;=3,"Watch","OK")))</x:f>
      </x:c>
    </x:row>
    <x:row r="412">
      <x:c r="A412" s="17" t="str">
        <x:f>IF(Students!A412="","",Students!A412)</x:f>
      </x:c>
      <x:c r="B412" s="17" t="str">
        <x:f>IF(A412="","",Students!F412)</x:f>
      </x:c>
      <x:c r="C412" s="17" t="str">
        <x:f>IF(A412="","",Students!G412)</x:f>
      </x:c>
      <x:c r="D412" s="17" t="str">
        <x:f>IF(A412="","",Students!H412)</x:f>
      </x:c>
      <x:c r="E412" s="22" t="str">
        <x:f>IF(A412="","",COUNTIFS(Late_Transactions!E:E,A412,Late_Transactions!K:K,"Recorded"))</x:f>
      </x:c>
      <x:c r="F412" s="21" t="n">
        <x:f>IFERROR(MAXIFS(Late_Transactions!C:C,Late_Transactions!E:E,A412,Late_Transactions!K:K,"Recorded"),"")</x:f>
        <x:v>0</x:v>
      </x:c>
      <x:c r="G412" s="17" t="str">
        <x:f>IF(E412="","",IF(E412&gt;=5,"High",IF(E412&gt;=3,"Watch","OK")))</x:f>
      </x:c>
    </x:row>
    <x:row r="413">
      <x:c r="A413" s="17" t="str">
        <x:f>IF(Students!A413="","",Students!A413)</x:f>
      </x:c>
      <x:c r="B413" s="17" t="str">
        <x:f>IF(A413="","",Students!F413)</x:f>
      </x:c>
      <x:c r="C413" s="17" t="str">
        <x:f>IF(A413="","",Students!G413)</x:f>
      </x:c>
      <x:c r="D413" s="17" t="str">
        <x:f>IF(A413="","",Students!H413)</x:f>
      </x:c>
      <x:c r="E413" s="22" t="str">
        <x:f>IF(A413="","",COUNTIFS(Late_Transactions!E:E,A413,Late_Transactions!K:K,"Recorded"))</x:f>
      </x:c>
      <x:c r="F413" s="21" t="n">
        <x:f>IFERROR(MAXIFS(Late_Transactions!C:C,Late_Transactions!E:E,A413,Late_Transactions!K:K,"Recorded"),"")</x:f>
        <x:v>0</x:v>
      </x:c>
      <x:c r="G413" s="17" t="str">
        <x:f>IF(E413="","",IF(E413&gt;=5,"High",IF(E413&gt;=3,"Watch","OK")))</x:f>
      </x:c>
    </x:row>
    <x:row r="414">
      <x:c r="A414" s="17" t="str">
        <x:f>IF(Students!A414="","",Students!A414)</x:f>
      </x:c>
      <x:c r="B414" s="17" t="str">
        <x:f>IF(A414="","",Students!F414)</x:f>
      </x:c>
      <x:c r="C414" s="17" t="str">
        <x:f>IF(A414="","",Students!G414)</x:f>
      </x:c>
      <x:c r="D414" s="17" t="str">
        <x:f>IF(A414="","",Students!H414)</x:f>
      </x:c>
      <x:c r="E414" s="22" t="str">
        <x:f>IF(A414="","",COUNTIFS(Late_Transactions!E:E,A414,Late_Transactions!K:K,"Recorded"))</x:f>
      </x:c>
      <x:c r="F414" s="21" t="n">
        <x:f>IFERROR(MAXIFS(Late_Transactions!C:C,Late_Transactions!E:E,A414,Late_Transactions!K:K,"Recorded"),"")</x:f>
        <x:v>0</x:v>
      </x:c>
      <x:c r="G414" s="17" t="str">
        <x:f>IF(E414="","",IF(E414&gt;=5,"High",IF(E414&gt;=3,"Watch","OK")))</x:f>
      </x:c>
    </x:row>
    <x:row r="415">
      <x:c r="A415" s="17" t="str">
        <x:f>IF(Students!A415="","",Students!A415)</x:f>
      </x:c>
      <x:c r="B415" s="17" t="str">
        <x:f>IF(A415="","",Students!F415)</x:f>
      </x:c>
      <x:c r="C415" s="17" t="str">
        <x:f>IF(A415="","",Students!G415)</x:f>
      </x:c>
      <x:c r="D415" s="17" t="str">
        <x:f>IF(A415="","",Students!H415)</x:f>
      </x:c>
      <x:c r="E415" s="22" t="str">
        <x:f>IF(A415="","",COUNTIFS(Late_Transactions!E:E,A415,Late_Transactions!K:K,"Recorded"))</x:f>
      </x:c>
      <x:c r="F415" s="21" t="n">
        <x:f>IFERROR(MAXIFS(Late_Transactions!C:C,Late_Transactions!E:E,A415,Late_Transactions!K:K,"Recorded"),"")</x:f>
        <x:v>0</x:v>
      </x:c>
      <x:c r="G415" s="17" t="str">
        <x:f>IF(E415="","",IF(E415&gt;=5,"High",IF(E415&gt;=3,"Watch","OK")))</x:f>
      </x:c>
    </x:row>
    <x:row r="416">
      <x:c r="A416" s="17" t="str">
        <x:f>IF(Students!A416="","",Students!A416)</x:f>
      </x:c>
      <x:c r="B416" s="17" t="str">
        <x:f>IF(A416="","",Students!F416)</x:f>
      </x:c>
      <x:c r="C416" s="17" t="str">
        <x:f>IF(A416="","",Students!G416)</x:f>
      </x:c>
      <x:c r="D416" s="17" t="str">
        <x:f>IF(A416="","",Students!H416)</x:f>
      </x:c>
      <x:c r="E416" s="22" t="str">
        <x:f>IF(A416="","",COUNTIFS(Late_Transactions!E:E,A416,Late_Transactions!K:K,"Recorded"))</x:f>
      </x:c>
      <x:c r="F416" s="21" t="n">
        <x:f>IFERROR(MAXIFS(Late_Transactions!C:C,Late_Transactions!E:E,A416,Late_Transactions!K:K,"Recorded"),"")</x:f>
        <x:v>0</x:v>
      </x:c>
      <x:c r="G416" s="17" t="str">
        <x:f>IF(E416="","",IF(E416&gt;=5,"High",IF(E416&gt;=3,"Watch","OK")))</x:f>
      </x:c>
    </x:row>
    <x:row r="417">
      <x:c r="A417" s="17" t="str">
        <x:f>IF(Students!A417="","",Students!A417)</x:f>
      </x:c>
      <x:c r="B417" s="17" t="str">
        <x:f>IF(A417="","",Students!F417)</x:f>
      </x:c>
      <x:c r="C417" s="17" t="str">
        <x:f>IF(A417="","",Students!G417)</x:f>
      </x:c>
      <x:c r="D417" s="17" t="str">
        <x:f>IF(A417="","",Students!H417)</x:f>
      </x:c>
      <x:c r="E417" s="22" t="str">
        <x:f>IF(A417="","",COUNTIFS(Late_Transactions!E:E,A417,Late_Transactions!K:K,"Recorded"))</x:f>
      </x:c>
      <x:c r="F417" s="21" t="n">
        <x:f>IFERROR(MAXIFS(Late_Transactions!C:C,Late_Transactions!E:E,A417,Late_Transactions!K:K,"Recorded"),"")</x:f>
        <x:v>0</x:v>
      </x:c>
      <x:c r="G417" s="17" t="str">
        <x:f>IF(E417="","",IF(E417&gt;=5,"High",IF(E417&gt;=3,"Watch","OK")))</x:f>
      </x:c>
    </x:row>
    <x:row r="418">
      <x:c r="A418" s="17" t="str">
        <x:f>IF(Students!A418="","",Students!A418)</x:f>
      </x:c>
      <x:c r="B418" s="17" t="str">
        <x:f>IF(A418="","",Students!F418)</x:f>
      </x:c>
      <x:c r="C418" s="17" t="str">
        <x:f>IF(A418="","",Students!G418)</x:f>
      </x:c>
      <x:c r="D418" s="17" t="str">
        <x:f>IF(A418="","",Students!H418)</x:f>
      </x:c>
      <x:c r="E418" s="22" t="str">
        <x:f>IF(A418="","",COUNTIFS(Late_Transactions!E:E,A418,Late_Transactions!K:K,"Recorded"))</x:f>
      </x:c>
      <x:c r="F418" s="21" t="n">
        <x:f>IFERROR(MAXIFS(Late_Transactions!C:C,Late_Transactions!E:E,A418,Late_Transactions!K:K,"Recorded"),"")</x:f>
        <x:v>0</x:v>
      </x:c>
      <x:c r="G418" s="17" t="str">
        <x:f>IF(E418="","",IF(E418&gt;=5,"High",IF(E418&gt;=3,"Watch","OK")))</x:f>
      </x:c>
    </x:row>
    <x:row r="419">
      <x:c r="A419" s="17" t="str">
        <x:f>IF(Students!A419="","",Students!A419)</x:f>
      </x:c>
      <x:c r="B419" s="17" t="str">
        <x:f>IF(A419="","",Students!F419)</x:f>
      </x:c>
      <x:c r="C419" s="17" t="str">
        <x:f>IF(A419="","",Students!G419)</x:f>
      </x:c>
      <x:c r="D419" s="17" t="str">
        <x:f>IF(A419="","",Students!H419)</x:f>
      </x:c>
      <x:c r="E419" s="22" t="str">
        <x:f>IF(A419="","",COUNTIFS(Late_Transactions!E:E,A419,Late_Transactions!K:K,"Recorded"))</x:f>
      </x:c>
      <x:c r="F419" s="21" t="n">
        <x:f>IFERROR(MAXIFS(Late_Transactions!C:C,Late_Transactions!E:E,A419,Late_Transactions!K:K,"Recorded"),"")</x:f>
        <x:v>0</x:v>
      </x:c>
      <x:c r="G419" s="17" t="str">
        <x:f>IF(E419="","",IF(E419&gt;=5,"High",IF(E419&gt;=3,"Watch","OK")))</x:f>
      </x:c>
    </x:row>
    <x:row r="420">
      <x:c r="A420" s="17" t="str">
        <x:f>IF(Students!A420="","",Students!A420)</x:f>
      </x:c>
      <x:c r="B420" s="17" t="str">
        <x:f>IF(A420="","",Students!F420)</x:f>
      </x:c>
      <x:c r="C420" s="17" t="str">
        <x:f>IF(A420="","",Students!G420)</x:f>
      </x:c>
      <x:c r="D420" s="17" t="str">
        <x:f>IF(A420="","",Students!H420)</x:f>
      </x:c>
      <x:c r="E420" s="22" t="str">
        <x:f>IF(A420="","",COUNTIFS(Late_Transactions!E:E,A420,Late_Transactions!K:K,"Recorded"))</x:f>
      </x:c>
      <x:c r="F420" s="21" t="n">
        <x:f>IFERROR(MAXIFS(Late_Transactions!C:C,Late_Transactions!E:E,A420,Late_Transactions!K:K,"Recorded"),"")</x:f>
        <x:v>0</x:v>
      </x:c>
      <x:c r="G420" s="17" t="str">
        <x:f>IF(E420="","",IF(E420&gt;=5,"High",IF(E420&gt;=3,"Watch","OK")))</x:f>
      </x:c>
    </x:row>
    <x:row r="421">
      <x:c r="A421" s="17" t="str">
        <x:f>IF(Students!A421="","",Students!A421)</x:f>
      </x:c>
      <x:c r="B421" s="17" t="str">
        <x:f>IF(A421="","",Students!F421)</x:f>
      </x:c>
      <x:c r="C421" s="17" t="str">
        <x:f>IF(A421="","",Students!G421)</x:f>
      </x:c>
      <x:c r="D421" s="17" t="str">
        <x:f>IF(A421="","",Students!H421)</x:f>
      </x:c>
      <x:c r="E421" s="22" t="str">
        <x:f>IF(A421="","",COUNTIFS(Late_Transactions!E:E,A421,Late_Transactions!K:K,"Recorded"))</x:f>
      </x:c>
      <x:c r="F421" s="21" t="n">
        <x:f>IFERROR(MAXIFS(Late_Transactions!C:C,Late_Transactions!E:E,A421,Late_Transactions!K:K,"Recorded"),"")</x:f>
        <x:v>0</x:v>
      </x:c>
      <x:c r="G421" s="17" t="str">
        <x:f>IF(E421="","",IF(E421&gt;=5,"High",IF(E421&gt;=3,"Watch","OK")))</x:f>
      </x:c>
    </x:row>
    <x:row r="422">
      <x:c r="A422" s="17" t="str">
        <x:f>IF(Students!A422="","",Students!A422)</x:f>
      </x:c>
      <x:c r="B422" s="17" t="str">
        <x:f>IF(A422="","",Students!F422)</x:f>
      </x:c>
      <x:c r="C422" s="17" t="str">
        <x:f>IF(A422="","",Students!G422)</x:f>
      </x:c>
      <x:c r="D422" s="17" t="str">
        <x:f>IF(A422="","",Students!H422)</x:f>
      </x:c>
      <x:c r="E422" s="22" t="str">
        <x:f>IF(A422="","",COUNTIFS(Late_Transactions!E:E,A422,Late_Transactions!K:K,"Recorded"))</x:f>
      </x:c>
      <x:c r="F422" s="21" t="n">
        <x:f>IFERROR(MAXIFS(Late_Transactions!C:C,Late_Transactions!E:E,A422,Late_Transactions!K:K,"Recorded"),"")</x:f>
        <x:v>0</x:v>
      </x:c>
      <x:c r="G422" s="17" t="str">
        <x:f>IF(E422="","",IF(E422&gt;=5,"High",IF(E422&gt;=3,"Watch","OK")))</x:f>
      </x:c>
    </x:row>
    <x:row r="423">
      <x:c r="A423" s="17" t="str">
        <x:f>IF(Students!A423="","",Students!A423)</x:f>
      </x:c>
      <x:c r="B423" s="17" t="str">
        <x:f>IF(A423="","",Students!F423)</x:f>
      </x:c>
      <x:c r="C423" s="17" t="str">
        <x:f>IF(A423="","",Students!G423)</x:f>
      </x:c>
      <x:c r="D423" s="17" t="str">
        <x:f>IF(A423="","",Students!H423)</x:f>
      </x:c>
      <x:c r="E423" s="22" t="str">
        <x:f>IF(A423="","",COUNTIFS(Late_Transactions!E:E,A423,Late_Transactions!K:K,"Recorded"))</x:f>
      </x:c>
      <x:c r="F423" s="21" t="n">
        <x:f>IFERROR(MAXIFS(Late_Transactions!C:C,Late_Transactions!E:E,A423,Late_Transactions!K:K,"Recorded"),"")</x:f>
        <x:v>0</x:v>
      </x:c>
      <x:c r="G423" s="17" t="str">
        <x:f>IF(E423="","",IF(E423&gt;=5,"High",IF(E423&gt;=3,"Watch","OK")))</x:f>
      </x:c>
    </x:row>
    <x:row r="424">
      <x:c r="A424" s="17" t="str">
        <x:f>IF(Students!A424="","",Students!A424)</x:f>
      </x:c>
      <x:c r="B424" s="17" t="str">
        <x:f>IF(A424="","",Students!F424)</x:f>
      </x:c>
      <x:c r="C424" s="17" t="str">
        <x:f>IF(A424="","",Students!G424)</x:f>
      </x:c>
      <x:c r="D424" s="17" t="str">
        <x:f>IF(A424="","",Students!H424)</x:f>
      </x:c>
      <x:c r="E424" s="22" t="str">
        <x:f>IF(A424="","",COUNTIFS(Late_Transactions!E:E,A424,Late_Transactions!K:K,"Recorded"))</x:f>
      </x:c>
      <x:c r="F424" s="21" t="n">
        <x:f>IFERROR(MAXIFS(Late_Transactions!C:C,Late_Transactions!E:E,A424,Late_Transactions!K:K,"Recorded"),"")</x:f>
        <x:v>0</x:v>
      </x:c>
      <x:c r="G424" s="17" t="str">
        <x:f>IF(E424="","",IF(E424&gt;=5,"High",IF(E424&gt;=3,"Watch","OK")))</x:f>
      </x:c>
    </x:row>
    <x:row r="425">
      <x:c r="A425" s="17" t="str">
        <x:f>IF(Students!A425="","",Students!A425)</x:f>
      </x:c>
      <x:c r="B425" s="17" t="str">
        <x:f>IF(A425="","",Students!F425)</x:f>
      </x:c>
      <x:c r="C425" s="17" t="str">
        <x:f>IF(A425="","",Students!G425)</x:f>
      </x:c>
      <x:c r="D425" s="17" t="str">
        <x:f>IF(A425="","",Students!H425)</x:f>
      </x:c>
      <x:c r="E425" s="22" t="str">
        <x:f>IF(A425="","",COUNTIFS(Late_Transactions!E:E,A425,Late_Transactions!K:K,"Recorded"))</x:f>
      </x:c>
      <x:c r="F425" s="21" t="n">
        <x:f>IFERROR(MAXIFS(Late_Transactions!C:C,Late_Transactions!E:E,A425,Late_Transactions!K:K,"Recorded"),"")</x:f>
        <x:v>0</x:v>
      </x:c>
      <x:c r="G425" s="17" t="str">
        <x:f>IF(E425="","",IF(E425&gt;=5,"High",IF(E425&gt;=3,"Watch","OK")))</x:f>
      </x:c>
    </x:row>
    <x:row r="426">
      <x:c r="A426" s="17" t="str">
        <x:f>IF(Students!A426="","",Students!A426)</x:f>
      </x:c>
      <x:c r="B426" s="17" t="str">
        <x:f>IF(A426="","",Students!F426)</x:f>
      </x:c>
      <x:c r="C426" s="17" t="str">
        <x:f>IF(A426="","",Students!G426)</x:f>
      </x:c>
      <x:c r="D426" s="17" t="str">
        <x:f>IF(A426="","",Students!H426)</x:f>
      </x:c>
      <x:c r="E426" s="22" t="str">
        <x:f>IF(A426="","",COUNTIFS(Late_Transactions!E:E,A426,Late_Transactions!K:K,"Recorded"))</x:f>
      </x:c>
      <x:c r="F426" s="21" t="n">
        <x:f>IFERROR(MAXIFS(Late_Transactions!C:C,Late_Transactions!E:E,A426,Late_Transactions!K:K,"Recorded"),"")</x:f>
        <x:v>0</x:v>
      </x:c>
      <x:c r="G426" s="17" t="str">
        <x:f>IF(E426="","",IF(E426&gt;=5,"High",IF(E426&gt;=3,"Watch","OK")))</x:f>
      </x:c>
    </x:row>
    <x:row r="427">
      <x:c r="A427" s="17" t="str">
        <x:f>IF(Students!A427="","",Students!A427)</x:f>
      </x:c>
      <x:c r="B427" s="17" t="str">
        <x:f>IF(A427="","",Students!F427)</x:f>
      </x:c>
      <x:c r="C427" s="17" t="str">
        <x:f>IF(A427="","",Students!G427)</x:f>
      </x:c>
      <x:c r="D427" s="17" t="str">
        <x:f>IF(A427="","",Students!H427)</x:f>
      </x:c>
      <x:c r="E427" s="22" t="str">
        <x:f>IF(A427="","",COUNTIFS(Late_Transactions!E:E,A427,Late_Transactions!K:K,"Recorded"))</x:f>
      </x:c>
      <x:c r="F427" s="21" t="n">
        <x:f>IFERROR(MAXIFS(Late_Transactions!C:C,Late_Transactions!E:E,A427,Late_Transactions!K:K,"Recorded"),"")</x:f>
        <x:v>0</x:v>
      </x:c>
      <x:c r="G427" s="17" t="str">
        <x:f>IF(E427="","",IF(E427&gt;=5,"High",IF(E427&gt;=3,"Watch","OK")))</x:f>
      </x:c>
    </x:row>
    <x:row r="428">
      <x:c r="A428" s="17" t="str">
        <x:f>IF(Students!A428="","",Students!A428)</x:f>
      </x:c>
      <x:c r="B428" s="17" t="str">
        <x:f>IF(A428="","",Students!F428)</x:f>
      </x:c>
      <x:c r="C428" s="17" t="str">
        <x:f>IF(A428="","",Students!G428)</x:f>
      </x:c>
      <x:c r="D428" s="17" t="str">
        <x:f>IF(A428="","",Students!H428)</x:f>
      </x:c>
      <x:c r="E428" s="22" t="str">
        <x:f>IF(A428="","",COUNTIFS(Late_Transactions!E:E,A428,Late_Transactions!K:K,"Recorded"))</x:f>
      </x:c>
      <x:c r="F428" s="21" t="n">
        <x:f>IFERROR(MAXIFS(Late_Transactions!C:C,Late_Transactions!E:E,A428,Late_Transactions!K:K,"Recorded"),"")</x:f>
        <x:v>0</x:v>
      </x:c>
      <x:c r="G428" s="17" t="str">
        <x:f>IF(E428="","",IF(E428&gt;=5,"High",IF(E428&gt;=3,"Watch","OK")))</x:f>
      </x:c>
    </x:row>
    <x:row r="429">
      <x:c r="A429" s="17" t="str">
        <x:f>IF(Students!A429="","",Students!A429)</x:f>
      </x:c>
      <x:c r="B429" s="17" t="str">
        <x:f>IF(A429="","",Students!F429)</x:f>
      </x:c>
      <x:c r="C429" s="17" t="str">
        <x:f>IF(A429="","",Students!G429)</x:f>
      </x:c>
      <x:c r="D429" s="17" t="str">
        <x:f>IF(A429="","",Students!H429)</x:f>
      </x:c>
      <x:c r="E429" s="22" t="str">
        <x:f>IF(A429="","",COUNTIFS(Late_Transactions!E:E,A429,Late_Transactions!K:K,"Recorded"))</x:f>
      </x:c>
      <x:c r="F429" s="21" t="n">
        <x:f>IFERROR(MAXIFS(Late_Transactions!C:C,Late_Transactions!E:E,A429,Late_Transactions!K:K,"Recorded"),"")</x:f>
        <x:v>0</x:v>
      </x:c>
      <x:c r="G429" s="17" t="str">
        <x:f>IF(E429="","",IF(E429&gt;=5,"High",IF(E429&gt;=3,"Watch","OK")))</x:f>
      </x:c>
    </x:row>
    <x:row r="430">
      <x:c r="A430" s="17" t="str">
        <x:f>IF(Students!A430="","",Students!A430)</x:f>
      </x:c>
      <x:c r="B430" s="17" t="str">
        <x:f>IF(A430="","",Students!F430)</x:f>
      </x:c>
      <x:c r="C430" s="17" t="str">
        <x:f>IF(A430="","",Students!G430)</x:f>
      </x:c>
      <x:c r="D430" s="17" t="str">
        <x:f>IF(A430="","",Students!H430)</x:f>
      </x:c>
      <x:c r="E430" s="22" t="str">
        <x:f>IF(A430="","",COUNTIFS(Late_Transactions!E:E,A430,Late_Transactions!K:K,"Recorded"))</x:f>
      </x:c>
      <x:c r="F430" s="21" t="n">
        <x:f>IFERROR(MAXIFS(Late_Transactions!C:C,Late_Transactions!E:E,A430,Late_Transactions!K:K,"Recorded"),"")</x:f>
        <x:v>0</x:v>
      </x:c>
      <x:c r="G430" s="17" t="str">
        <x:f>IF(E430="","",IF(E430&gt;=5,"High",IF(E430&gt;=3,"Watch","OK")))</x:f>
      </x:c>
    </x:row>
    <x:row r="431">
      <x:c r="A431" s="17" t="str">
        <x:f>IF(Students!A431="","",Students!A431)</x:f>
      </x:c>
      <x:c r="B431" s="17" t="str">
        <x:f>IF(A431="","",Students!F431)</x:f>
      </x:c>
      <x:c r="C431" s="17" t="str">
        <x:f>IF(A431="","",Students!G431)</x:f>
      </x:c>
      <x:c r="D431" s="17" t="str">
        <x:f>IF(A431="","",Students!H431)</x:f>
      </x:c>
      <x:c r="E431" s="22" t="str">
        <x:f>IF(A431="","",COUNTIFS(Late_Transactions!E:E,A431,Late_Transactions!K:K,"Recorded"))</x:f>
      </x:c>
      <x:c r="F431" s="21" t="n">
        <x:f>IFERROR(MAXIFS(Late_Transactions!C:C,Late_Transactions!E:E,A431,Late_Transactions!K:K,"Recorded"),"")</x:f>
        <x:v>0</x:v>
      </x:c>
      <x:c r="G431" s="17" t="str">
        <x:f>IF(E431="","",IF(E431&gt;=5,"High",IF(E431&gt;=3,"Watch","OK")))</x:f>
      </x:c>
    </x:row>
    <x:row r="432">
      <x:c r="A432" s="17" t="str">
        <x:f>IF(Students!A432="","",Students!A432)</x:f>
      </x:c>
      <x:c r="B432" s="17" t="str">
        <x:f>IF(A432="","",Students!F432)</x:f>
      </x:c>
      <x:c r="C432" s="17" t="str">
        <x:f>IF(A432="","",Students!G432)</x:f>
      </x:c>
      <x:c r="D432" s="17" t="str">
        <x:f>IF(A432="","",Students!H432)</x:f>
      </x:c>
      <x:c r="E432" s="22" t="str">
        <x:f>IF(A432="","",COUNTIFS(Late_Transactions!E:E,A432,Late_Transactions!K:K,"Recorded"))</x:f>
      </x:c>
      <x:c r="F432" s="21" t="n">
        <x:f>IFERROR(MAXIFS(Late_Transactions!C:C,Late_Transactions!E:E,A432,Late_Transactions!K:K,"Recorded"),"")</x:f>
        <x:v>0</x:v>
      </x:c>
      <x:c r="G432" s="17" t="str">
        <x:f>IF(E432="","",IF(E432&gt;=5,"High",IF(E432&gt;=3,"Watch","OK")))</x:f>
      </x:c>
    </x:row>
    <x:row r="433">
      <x:c r="A433" s="17" t="str">
        <x:f>IF(Students!A433="","",Students!A433)</x:f>
      </x:c>
      <x:c r="B433" s="17" t="str">
        <x:f>IF(A433="","",Students!F433)</x:f>
      </x:c>
      <x:c r="C433" s="17" t="str">
        <x:f>IF(A433="","",Students!G433)</x:f>
      </x:c>
      <x:c r="D433" s="17" t="str">
        <x:f>IF(A433="","",Students!H433)</x:f>
      </x:c>
      <x:c r="E433" s="22" t="str">
        <x:f>IF(A433="","",COUNTIFS(Late_Transactions!E:E,A433,Late_Transactions!K:K,"Recorded"))</x:f>
      </x:c>
      <x:c r="F433" s="21" t="n">
        <x:f>IFERROR(MAXIFS(Late_Transactions!C:C,Late_Transactions!E:E,A433,Late_Transactions!K:K,"Recorded"),"")</x:f>
        <x:v>0</x:v>
      </x:c>
      <x:c r="G433" s="17" t="str">
        <x:f>IF(E433="","",IF(E433&gt;=5,"High",IF(E433&gt;=3,"Watch","OK")))</x:f>
      </x:c>
    </x:row>
    <x:row r="434">
      <x:c r="A434" s="17" t="str">
        <x:f>IF(Students!A434="","",Students!A434)</x:f>
      </x:c>
      <x:c r="B434" s="17" t="str">
        <x:f>IF(A434="","",Students!F434)</x:f>
      </x:c>
      <x:c r="C434" s="17" t="str">
        <x:f>IF(A434="","",Students!G434)</x:f>
      </x:c>
      <x:c r="D434" s="17" t="str">
        <x:f>IF(A434="","",Students!H434)</x:f>
      </x:c>
      <x:c r="E434" s="22" t="str">
        <x:f>IF(A434="","",COUNTIFS(Late_Transactions!E:E,A434,Late_Transactions!K:K,"Recorded"))</x:f>
      </x:c>
      <x:c r="F434" s="21" t="n">
        <x:f>IFERROR(MAXIFS(Late_Transactions!C:C,Late_Transactions!E:E,A434,Late_Transactions!K:K,"Recorded"),"")</x:f>
        <x:v>0</x:v>
      </x:c>
      <x:c r="G434" s="17" t="str">
        <x:f>IF(E434="","",IF(E434&gt;=5,"High",IF(E434&gt;=3,"Watch","OK")))</x:f>
      </x:c>
    </x:row>
    <x:row r="435">
      <x:c r="A435" s="17" t="str">
        <x:f>IF(Students!A435="","",Students!A435)</x:f>
      </x:c>
      <x:c r="B435" s="17" t="str">
        <x:f>IF(A435="","",Students!F435)</x:f>
      </x:c>
      <x:c r="C435" s="17" t="str">
        <x:f>IF(A435="","",Students!G435)</x:f>
      </x:c>
      <x:c r="D435" s="17" t="str">
        <x:f>IF(A435="","",Students!H435)</x:f>
      </x:c>
      <x:c r="E435" s="22" t="str">
        <x:f>IF(A435="","",COUNTIFS(Late_Transactions!E:E,A435,Late_Transactions!K:K,"Recorded"))</x:f>
      </x:c>
      <x:c r="F435" s="21" t="n">
        <x:f>IFERROR(MAXIFS(Late_Transactions!C:C,Late_Transactions!E:E,A435,Late_Transactions!K:K,"Recorded"),"")</x:f>
        <x:v>0</x:v>
      </x:c>
      <x:c r="G435" s="17" t="str">
        <x:f>IF(E435="","",IF(E435&gt;=5,"High",IF(E435&gt;=3,"Watch","OK")))</x:f>
      </x:c>
    </x:row>
    <x:row r="436">
      <x:c r="A436" s="17" t="str">
        <x:f>IF(Students!A436="","",Students!A436)</x:f>
      </x:c>
      <x:c r="B436" s="17" t="str">
        <x:f>IF(A436="","",Students!F436)</x:f>
      </x:c>
      <x:c r="C436" s="17" t="str">
        <x:f>IF(A436="","",Students!G436)</x:f>
      </x:c>
      <x:c r="D436" s="17" t="str">
        <x:f>IF(A436="","",Students!H436)</x:f>
      </x:c>
      <x:c r="E436" s="22" t="str">
        <x:f>IF(A436="","",COUNTIFS(Late_Transactions!E:E,A436,Late_Transactions!K:K,"Recorded"))</x:f>
      </x:c>
      <x:c r="F436" s="21" t="n">
        <x:f>IFERROR(MAXIFS(Late_Transactions!C:C,Late_Transactions!E:E,A436,Late_Transactions!K:K,"Recorded"),"")</x:f>
        <x:v>0</x:v>
      </x:c>
      <x:c r="G436" s="17" t="str">
        <x:f>IF(E436="","",IF(E436&gt;=5,"High",IF(E436&gt;=3,"Watch","OK")))</x:f>
      </x:c>
    </x:row>
    <x:row r="437">
      <x:c r="A437" s="17" t="str">
        <x:f>IF(Students!A437="","",Students!A437)</x:f>
      </x:c>
      <x:c r="B437" s="17" t="str">
        <x:f>IF(A437="","",Students!F437)</x:f>
      </x:c>
      <x:c r="C437" s="17" t="str">
        <x:f>IF(A437="","",Students!G437)</x:f>
      </x:c>
      <x:c r="D437" s="17" t="str">
        <x:f>IF(A437="","",Students!H437)</x:f>
      </x:c>
      <x:c r="E437" s="22" t="str">
        <x:f>IF(A437="","",COUNTIFS(Late_Transactions!E:E,A437,Late_Transactions!K:K,"Recorded"))</x:f>
      </x:c>
      <x:c r="F437" s="21" t="n">
        <x:f>IFERROR(MAXIFS(Late_Transactions!C:C,Late_Transactions!E:E,A437,Late_Transactions!K:K,"Recorded"),"")</x:f>
        <x:v>0</x:v>
      </x:c>
      <x:c r="G437" s="17" t="str">
        <x:f>IF(E437="","",IF(E437&gt;=5,"High",IF(E437&gt;=3,"Watch","OK")))</x:f>
      </x:c>
    </x:row>
    <x:row r="438">
      <x:c r="A438" s="17" t="str">
        <x:f>IF(Students!A438="","",Students!A438)</x:f>
      </x:c>
      <x:c r="B438" s="17" t="str">
        <x:f>IF(A438="","",Students!F438)</x:f>
      </x:c>
      <x:c r="C438" s="17" t="str">
        <x:f>IF(A438="","",Students!G438)</x:f>
      </x:c>
      <x:c r="D438" s="17" t="str">
        <x:f>IF(A438="","",Students!H438)</x:f>
      </x:c>
      <x:c r="E438" s="22" t="str">
        <x:f>IF(A438="","",COUNTIFS(Late_Transactions!E:E,A438,Late_Transactions!K:K,"Recorded"))</x:f>
      </x:c>
      <x:c r="F438" s="21" t="n">
        <x:f>IFERROR(MAXIFS(Late_Transactions!C:C,Late_Transactions!E:E,A438,Late_Transactions!K:K,"Recorded"),"")</x:f>
        <x:v>0</x:v>
      </x:c>
      <x:c r="G438" s="17" t="str">
        <x:f>IF(E438="","",IF(E438&gt;=5,"High",IF(E438&gt;=3,"Watch","OK")))</x:f>
      </x:c>
    </x:row>
    <x:row r="439">
      <x:c r="A439" s="17" t="str">
        <x:f>IF(Students!A439="","",Students!A439)</x:f>
      </x:c>
      <x:c r="B439" s="17" t="str">
        <x:f>IF(A439="","",Students!F439)</x:f>
      </x:c>
      <x:c r="C439" s="17" t="str">
        <x:f>IF(A439="","",Students!G439)</x:f>
      </x:c>
      <x:c r="D439" s="17" t="str">
        <x:f>IF(A439="","",Students!H439)</x:f>
      </x:c>
      <x:c r="E439" s="22" t="str">
        <x:f>IF(A439="","",COUNTIFS(Late_Transactions!E:E,A439,Late_Transactions!K:K,"Recorded"))</x:f>
      </x:c>
      <x:c r="F439" s="21" t="n">
        <x:f>IFERROR(MAXIFS(Late_Transactions!C:C,Late_Transactions!E:E,A439,Late_Transactions!K:K,"Recorded"),"")</x:f>
        <x:v>0</x:v>
      </x:c>
      <x:c r="G439" s="17" t="str">
        <x:f>IF(E439="","",IF(E439&gt;=5,"High",IF(E439&gt;=3,"Watch","OK")))</x:f>
      </x:c>
    </x:row>
    <x:row r="440">
      <x:c r="A440" s="17" t="str">
        <x:f>IF(Students!A440="","",Students!A440)</x:f>
      </x:c>
      <x:c r="B440" s="17" t="str">
        <x:f>IF(A440="","",Students!F440)</x:f>
      </x:c>
      <x:c r="C440" s="17" t="str">
        <x:f>IF(A440="","",Students!G440)</x:f>
      </x:c>
      <x:c r="D440" s="17" t="str">
        <x:f>IF(A440="","",Students!H440)</x:f>
      </x:c>
      <x:c r="E440" s="22" t="str">
        <x:f>IF(A440="","",COUNTIFS(Late_Transactions!E:E,A440,Late_Transactions!K:K,"Recorded"))</x:f>
      </x:c>
      <x:c r="F440" s="21" t="n">
        <x:f>IFERROR(MAXIFS(Late_Transactions!C:C,Late_Transactions!E:E,A440,Late_Transactions!K:K,"Recorded"),"")</x:f>
        <x:v>0</x:v>
      </x:c>
      <x:c r="G440" s="17" t="str">
        <x:f>IF(E440="","",IF(E440&gt;=5,"High",IF(E440&gt;=3,"Watch","OK")))</x:f>
      </x:c>
    </x:row>
    <x:row r="441">
      <x:c r="A441" s="17" t="str">
        <x:f>IF(Students!A441="","",Students!A441)</x:f>
      </x:c>
      <x:c r="B441" s="17" t="str">
        <x:f>IF(A441="","",Students!F441)</x:f>
      </x:c>
      <x:c r="C441" s="17" t="str">
        <x:f>IF(A441="","",Students!G441)</x:f>
      </x:c>
      <x:c r="D441" s="17" t="str">
        <x:f>IF(A441="","",Students!H441)</x:f>
      </x:c>
      <x:c r="E441" s="22" t="str">
        <x:f>IF(A441="","",COUNTIFS(Late_Transactions!E:E,A441,Late_Transactions!K:K,"Recorded"))</x:f>
      </x:c>
      <x:c r="F441" s="21" t="n">
        <x:f>IFERROR(MAXIFS(Late_Transactions!C:C,Late_Transactions!E:E,A441,Late_Transactions!K:K,"Recorded"),"")</x:f>
        <x:v>0</x:v>
      </x:c>
      <x:c r="G441" s="17" t="str">
        <x:f>IF(E441="","",IF(E441&gt;=5,"High",IF(E441&gt;=3,"Watch","OK")))</x:f>
      </x:c>
    </x:row>
    <x:row r="442">
      <x:c r="A442" s="17" t="str">
        <x:f>IF(Students!A442="","",Students!A442)</x:f>
      </x:c>
      <x:c r="B442" s="17" t="str">
        <x:f>IF(A442="","",Students!F442)</x:f>
      </x:c>
      <x:c r="C442" s="17" t="str">
        <x:f>IF(A442="","",Students!G442)</x:f>
      </x:c>
      <x:c r="D442" s="17" t="str">
        <x:f>IF(A442="","",Students!H442)</x:f>
      </x:c>
      <x:c r="E442" s="22" t="str">
        <x:f>IF(A442="","",COUNTIFS(Late_Transactions!E:E,A442,Late_Transactions!K:K,"Recorded"))</x:f>
      </x:c>
      <x:c r="F442" s="21" t="n">
        <x:f>IFERROR(MAXIFS(Late_Transactions!C:C,Late_Transactions!E:E,A442,Late_Transactions!K:K,"Recorded"),"")</x:f>
        <x:v>0</x:v>
      </x:c>
      <x:c r="G442" s="17" t="str">
        <x:f>IF(E442="","",IF(E442&gt;=5,"High",IF(E442&gt;=3,"Watch","OK")))</x:f>
      </x:c>
    </x:row>
    <x:row r="443">
      <x:c r="A443" s="17" t="str">
        <x:f>IF(Students!A443="","",Students!A443)</x:f>
      </x:c>
      <x:c r="B443" s="17" t="str">
        <x:f>IF(A443="","",Students!F443)</x:f>
      </x:c>
      <x:c r="C443" s="17" t="str">
        <x:f>IF(A443="","",Students!G443)</x:f>
      </x:c>
      <x:c r="D443" s="17" t="str">
        <x:f>IF(A443="","",Students!H443)</x:f>
      </x:c>
      <x:c r="E443" s="22" t="str">
        <x:f>IF(A443="","",COUNTIFS(Late_Transactions!E:E,A443,Late_Transactions!K:K,"Recorded"))</x:f>
      </x:c>
      <x:c r="F443" s="21" t="n">
        <x:f>IFERROR(MAXIFS(Late_Transactions!C:C,Late_Transactions!E:E,A443,Late_Transactions!K:K,"Recorded"),"")</x:f>
        <x:v>0</x:v>
      </x:c>
      <x:c r="G443" s="17" t="str">
        <x:f>IF(E443="","",IF(E443&gt;=5,"High",IF(E443&gt;=3,"Watch","OK")))</x:f>
      </x:c>
    </x:row>
    <x:row r="444">
      <x:c r="A444" s="17" t="str">
        <x:f>IF(Students!A444="","",Students!A444)</x:f>
      </x:c>
      <x:c r="B444" s="17" t="str">
        <x:f>IF(A444="","",Students!F444)</x:f>
      </x:c>
      <x:c r="C444" s="17" t="str">
        <x:f>IF(A444="","",Students!G444)</x:f>
      </x:c>
      <x:c r="D444" s="17" t="str">
        <x:f>IF(A444="","",Students!H444)</x:f>
      </x:c>
      <x:c r="E444" s="22" t="str">
        <x:f>IF(A444="","",COUNTIFS(Late_Transactions!E:E,A444,Late_Transactions!K:K,"Recorded"))</x:f>
      </x:c>
      <x:c r="F444" s="21" t="n">
        <x:f>IFERROR(MAXIFS(Late_Transactions!C:C,Late_Transactions!E:E,A444,Late_Transactions!K:K,"Recorded"),"")</x:f>
        <x:v>0</x:v>
      </x:c>
      <x:c r="G444" s="17" t="str">
        <x:f>IF(E444="","",IF(E444&gt;=5,"High",IF(E444&gt;=3,"Watch","OK")))</x:f>
      </x:c>
    </x:row>
    <x:row r="445">
      <x:c r="A445" s="17" t="str">
        <x:f>IF(Students!A445="","",Students!A445)</x:f>
      </x:c>
      <x:c r="B445" s="17" t="str">
        <x:f>IF(A445="","",Students!F445)</x:f>
      </x:c>
      <x:c r="C445" s="17" t="str">
        <x:f>IF(A445="","",Students!G445)</x:f>
      </x:c>
      <x:c r="D445" s="17" t="str">
        <x:f>IF(A445="","",Students!H445)</x:f>
      </x:c>
      <x:c r="E445" s="22" t="str">
        <x:f>IF(A445="","",COUNTIFS(Late_Transactions!E:E,A445,Late_Transactions!K:K,"Recorded"))</x:f>
      </x:c>
      <x:c r="F445" s="21" t="n">
        <x:f>IFERROR(MAXIFS(Late_Transactions!C:C,Late_Transactions!E:E,A445,Late_Transactions!K:K,"Recorded"),"")</x:f>
        <x:v>0</x:v>
      </x:c>
      <x:c r="G445" s="17" t="str">
        <x:f>IF(E445="","",IF(E445&gt;=5,"High",IF(E445&gt;=3,"Watch","OK")))</x:f>
      </x:c>
    </x:row>
    <x:row r="446">
      <x:c r="A446" s="17" t="str">
        <x:f>IF(Students!A446="","",Students!A446)</x:f>
      </x:c>
      <x:c r="B446" s="17" t="str">
        <x:f>IF(A446="","",Students!F446)</x:f>
      </x:c>
      <x:c r="C446" s="17" t="str">
        <x:f>IF(A446="","",Students!G446)</x:f>
      </x:c>
      <x:c r="D446" s="17" t="str">
        <x:f>IF(A446="","",Students!H446)</x:f>
      </x:c>
      <x:c r="E446" s="22" t="str">
        <x:f>IF(A446="","",COUNTIFS(Late_Transactions!E:E,A446,Late_Transactions!K:K,"Recorded"))</x:f>
      </x:c>
      <x:c r="F446" s="21" t="n">
        <x:f>IFERROR(MAXIFS(Late_Transactions!C:C,Late_Transactions!E:E,A446,Late_Transactions!K:K,"Recorded"),"")</x:f>
        <x:v>0</x:v>
      </x:c>
      <x:c r="G446" s="17" t="str">
        <x:f>IF(E446="","",IF(E446&gt;=5,"High",IF(E446&gt;=3,"Watch","OK")))</x:f>
      </x:c>
    </x:row>
    <x:row r="447">
      <x:c r="A447" s="17" t="str">
        <x:f>IF(Students!A447="","",Students!A447)</x:f>
      </x:c>
      <x:c r="B447" s="17" t="str">
        <x:f>IF(A447="","",Students!F447)</x:f>
      </x:c>
      <x:c r="C447" s="17" t="str">
        <x:f>IF(A447="","",Students!G447)</x:f>
      </x:c>
      <x:c r="D447" s="17" t="str">
        <x:f>IF(A447="","",Students!H447)</x:f>
      </x:c>
      <x:c r="E447" s="22" t="str">
        <x:f>IF(A447="","",COUNTIFS(Late_Transactions!E:E,A447,Late_Transactions!K:K,"Recorded"))</x:f>
      </x:c>
      <x:c r="F447" s="21" t="n">
        <x:f>IFERROR(MAXIFS(Late_Transactions!C:C,Late_Transactions!E:E,A447,Late_Transactions!K:K,"Recorded"),"")</x:f>
        <x:v>0</x:v>
      </x:c>
      <x:c r="G447" s="17" t="str">
        <x:f>IF(E447="","",IF(E447&gt;=5,"High",IF(E447&gt;=3,"Watch","OK")))</x:f>
      </x:c>
    </x:row>
    <x:row r="448">
      <x:c r="A448" s="17" t="str">
        <x:f>IF(Students!A448="","",Students!A448)</x:f>
      </x:c>
      <x:c r="B448" s="17" t="str">
        <x:f>IF(A448="","",Students!F448)</x:f>
      </x:c>
      <x:c r="C448" s="17" t="str">
        <x:f>IF(A448="","",Students!G448)</x:f>
      </x:c>
      <x:c r="D448" s="17" t="str">
        <x:f>IF(A448="","",Students!H448)</x:f>
      </x:c>
      <x:c r="E448" s="22" t="str">
        <x:f>IF(A448="","",COUNTIFS(Late_Transactions!E:E,A448,Late_Transactions!K:K,"Recorded"))</x:f>
      </x:c>
      <x:c r="F448" s="21" t="n">
        <x:f>IFERROR(MAXIFS(Late_Transactions!C:C,Late_Transactions!E:E,A448,Late_Transactions!K:K,"Recorded"),"")</x:f>
        <x:v>0</x:v>
      </x:c>
      <x:c r="G448" s="17" t="str">
        <x:f>IF(E448="","",IF(E448&gt;=5,"High",IF(E448&gt;=3,"Watch","OK")))</x:f>
      </x:c>
    </x:row>
    <x:row r="449">
      <x:c r="A449" s="17" t="str">
        <x:f>IF(Students!A449="","",Students!A449)</x:f>
      </x:c>
      <x:c r="B449" s="17" t="str">
        <x:f>IF(A449="","",Students!F449)</x:f>
      </x:c>
      <x:c r="C449" s="17" t="str">
        <x:f>IF(A449="","",Students!G449)</x:f>
      </x:c>
      <x:c r="D449" s="17" t="str">
        <x:f>IF(A449="","",Students!H449)</x:f>
      </x:c>
      <x:c r="E449" s="22" t="str">
        <x:f>IF(A449="","",COUNTIFS(Late_Transactions!E:E,A449,Late_Transactions!K:K,"Recorded"))</x:f>
      </x:c>
      <x:c r="F449" s="21" t="n">
        <x:f>IFERROR(MAXIFS(Late_Transactions!C:C,Late_Transactions!E:E,A449,Late_Transactions!K:K,"Recorded"),"")</x:f>
        <x:v>0</x:v>
      </x:c>
      <x:c r="G449" s="17" t="str">
        <x:f>IF(E449="","",IF(E449&gt;=5,"High",IF(E449&gt;=3,"Watch","OK")))</x:f>
      </x:c>
    </x:row>
    <x:row r="450">
      <x:c r="A450" s="17" t="str">
        <x:f>IF(Students!A450="","",Students!A450)</x:f>
      </x:c>
      <x:c r="B450" s="17" t="str">
        <x:f>IF(A450="","",Students!F450)</x:f>
      </x:c>
      <x:c r="C450" s="17" t="str">
        <x:f>IF(A450="","",Students!G450)</x:f>
      </x:c>
      <x:c r="D450" s="17" t="str">
        <x:f>IF(A450="","",Students!H450)</x:f>
      </x:c>
      <x:c r="E450" s="22" t="str">
        <x:f>IF(A450="","",COUNTIFS(Late_Transactions!E:E,A450,Late_Transactions!K:K,"Recorded"))</x:f>
      </x:c>
      <x:c r="F450" s="21" t="n">
        <x:f>IFERROR(MAXIFS(Late_Transactions!C:C,Late_Transactions!E:E,A450,Late_Transactions!K:K,"Recorded"),"")</x:f>
        <x:v>0</x:v>
      </x:c>
      <x:c r="G450" s="17" t="str">
        <x:f>IF(E450="","",IF(E450&gt;=5,"High",IF(E450&gt;=3,"Watch","OK")))</x:f>
      </x:c>
    </x:row>
    <x:row r="451">
      <x:c r="A451" s="17" t="str">
        <x:f>IF(Students!A451="","",Students!A451)</x:f>
      </x:c>
      <x:c r="B451" s="17" t="str">
        <x:f>IF(A451="","",Students!F451)</x:f>
      </x:c>
      <x:c r="C451" s="17" t="str">
        <x:f>IF(A451="","",Students!G451)</x:f>
      </x:c>
      <x:c r="D451" s="17" t="str">
        <x:f>IF(A451="","",Students!H451)</x:f>
      </x:c>
      <x:c r="E451" s="22" t="str">
        <x:f>IF(A451="","",COUNTIFS(Late_Transactions!E:E,A451,Late_Transactions!K:K,"Recorded"))</x:f>
      </x:c>
      <x:c r="F451" s="21" t="n">
        <x:f>IFERROR(MAXIFS(Late_Transactions!C:C,Late_Transactions!E:E,A451,Late_Transactions!K:K,"Recorded"),"")</x:f>
        <x:v>0</x:v>
      </x:c>
      <x:c r="G451" s="17" t="str">
        <x:f>IF(E451="","",IF(E451&gt;=5,"High",IF(E451&gt;=3,"Watch","OK")))</x:f>
      </x:c>
    </x:row>
    <x:row r="452">
      <x:c r="A452" s="17" t="str">
        <x:f>IF(Students!A452="","",Students!A452)</x:f>
      </x:c>
      <x:c r="B452" s="17" t="str">
        <x:f>IF(A452="","",Students!F452)</x:f>
      </x:c>
      <x:c r="C452" s="17" t="str">
        <x:f>IF(A452="","",Students!G452)</x:f>
      </x:c>
      <x:c r="D452" s="17" t="str">
        <x:f>IF(A452="","",Students!H452)</x:f>
      </x:c>
      <x:c r="E452" s="22" t="str">
        <x:f>IF(A452="","",COUNTIFS(Late_Transactions!E:E,A452,Late_Transactions!K:K,"Recorded"))</x:f>
      </x:c>
      <x:c r="F452" s="21" t="n">
        <x:f>IFERROR(MAXIFS(Late_Transactions!C:C,Late_Transactions!E:E,A452,Late_Transactions!K:K,"Recorded"),"")</x:f>
        <x:v>0</x:v>
      </x:c>
      <x:c r="G452" s="17" t="str">
        <x:f>IF(E452="","",IF(E452&gt;=5,"High",IF(E452&gt;=3,"Watch","OK")))</x:f>
      </x:c>
    </x:row>
    <x:row r="453">
      <x:c r="A453" s="17" t="str">
        <x:f>IF(Students!A453="","",Students!A453)</x:f>
      </x:c>
      <x:c r="B453" s="17" t="str">
        <x:f>IF(A453="","",Students!F453)</x:f>
      </x:c>
      <x:c r="C453" s="17" t="str">
        <x:f>IF(A453="","",Students!G453)</x:f>
      </x:c>
      <x:c r="D453" s="17" t="str">
        <x:f>IF(A453="","",Students!H453)</x:f>
      </x:c>
      <x:c r="E453" s="22" t="str">
        <x:f>IF(A453="","",COUNTIFS(Late_Transactions!E:E,A453,Late_Transactions!K:K,"Recorded"))</x:f>
      </x:c>
      <x:c r="F453" s="21" t="n">
        <x:f>IFERROR(MAXIFS(Late_Transactions!C:C,Late_Transactions!E:E,A453,Late_Transactions!K:K,"Recorded"),"")</x:f>
        <x:v>0</x:v>
      </x:c>
      <x:c r="G453" s="17" t="str">
        <x:f>IF(E453="","",IF(E453&gt;=5,"High",IF(E453&gt;=3,"Watch","OK")))</x:f>
      </x:c>
    </x:row>
    <x:row r="454">
      <x:c r="A454" s="17" t="str">
        <x:f>IF(Students!A454="","",Students!A454)</x:f>
      </x:c>
      <x:c r="B454" s="17" t="str">
        <x:f>IF(A454="","",Students!F454)</x:f>
      </x:c>
      <x:c r="C454" s="17" t="str">
        <x:f>IF(A454="","",Students!G454)</x:f>
      </x:c>
      <x:c r="D454" s="17" t="str">
        <x:f>IF(A454="","",Students!H454)</x:f>
      </x:c>
      <x:c r="E454" s="22" t="str">
        <x:f>IF(A454="","",COUNTIFS(Late_Transactions!E:E,A454,Late_Transactions!K:K,"Recorded"))</x:f>
      </x:c>
      <x:c r="F454" s="21" t="n">
        <x:f>IFERROR(MAXIFS(Late_Transactions!C:C,Late_Transactions!E:E,A454,Late_Transactions!K:K,"Recorded"),"")</x:f>
        <x:v>0</x:v>
      </x:c>
      <x:c r="G454" s="17" t="str">
        <x:f>IF(E454="","",IF(E454&gt;=5,"High",IF(E454&gt;=3,"Watch","OK")))</x:f>
      </x:c>
    </x:row>
    <x:row r="455">
      <x:c r="A455" s="17" t="str">
        <x:f>IF(Students!A455="","",Students!A455)</x:f>
      </x:c>
      <x:c r="B455" s="17" t="str">
        <x:f>IF(A455="","",Students!F455)</x:f>
      </x:c>
      <x:c r="C455" s="17" t="str">
        <x:f>IF(A455="","",Students!G455)</x:f>
      </x:c>
      <x:c r="D455" s="17" t="str">
        <x:f>IF(A455="","",Students!H455)</x:f>
      </x:c>
      <x:c r="E455" s="22" t="str">
        <x:f>IF(A455="","",COUNTIFS(Late_Transactions!E:E,A455,Late_Transactions!K:K,"Recorded"))</x:f>
      </x:c>
      <x:c r="F455" s="21" t="n">
        <x:f>IFERROR(MAXIFS(Late_Transactions!C:C,Late_Transactions!E:E,A455,Late_Transactions!K:K,"Recorded"),"")</x:f>
        <x:v>0</x:v>
      </x:c>
      <x:c r="G455" s="17" t="str">
        <x:f>IF(E455="","",IF(E455&gt;=5,"High",IF(E455&gt;=3,"Watch","OK")))</x:f>
      </x:c>
    </x:row>
    <x:row r="456">
      <x:c r="A456" s="17" t="str">
        <x:f>IF(Students!A456="","",Students!A456)</x:f>
      </x:c>
      <x:c r="B456" s="17" t="str">
        <x:f>IF(A456="","",Students!F456)</x:f>
      </x:c>
      <x:c r="C456" s="17" t="str">
        <x:f>IF(A456="","",Students!G456)</x:f>
      </x:c>
      <x:c r="D456" s="17" t="str">
        <x:f>IF(A456="","",Students!H456)</x:f>
      </x:c>
      <x:c r="E456" s="22" t="str">
        <x:f>IF(A456="","",COUNTIFS(Late_Transactions!E:E,A456,Late_Transactions!K:K,"Recorded"))</x:f>
      </x:c>
      <x:c r="F456" s="21" t="n">
        <x:f>IFERROR(MAXIFS(Late_Transactions!C:C,Late_Transactions!E:E,A456,Late_Transactions!K:K,"Recorded"),"")</x:f>
        <x:v>0</x:v>
      </x:c>
      <x:c r="G456" s="17" t="str">
        <x:f>IF(E456="","",IF(E456&gt;=5,"High",IF(E456&gt;=3,"Watch","OK")))</x:f>
      </x:c>
    </x:row>
    <x:row r="457">
      <x:c r="A457" s="17" t="str">
        <x:f>IF(Students!A457="","",Students!A457)</x:f>
      </x:c>
      <x:c r="B457" s="17" t="str">
        <x:f>IF(A457="","",Students!F457)</x:f>
      </x:c>
      <x:c r="C457" s="17" t="str">
        <x:f>IF(A457="","",Students!G457)</x:f>
      </x:c>
      <x:c r="D457" s="17" t="str">
        <x:f>IF(A457="","",Students!H457)</x:f>
      </x:c>
      <x:c r="E457" s="22" t="str">
        <x:f>IF(A457="","",COUNTIFS(Late_Transactions!E:E,A457,Late_Transactions!K:K,"Recorded"))</x:f>
      </x:c>
      <x:c r="F457" s="21" t="n">
        <x:f>IFERROR(MAXIFS(Late_Transactions!C:C,Late_Transactions!E:E,A457,Late_Transactions!K:K,"Recorded"),"")</x:f>
        <x:v>0</x:v>
      </x:c>
      <x:c r="G457" s="17" t="str">
        <x:f>IF(E457="","",IF(E457&gt;=5,"High",IF(E457&gt;=3,"Watch","OK")))</x:f>
      </x:c>
    </x:row>
    <x:row r="458">
      <x:c r="A458" s="17" t="str">
        <x:f>IF(Students!A458="","",Students!A458)</x:f>
      </x:c>
      <x:c r="B458" s="17" t="str">
        <x:f>IF(A458="","",Students!F458)</x:f>
      </x:c>
      <x:c r="C458" s="17" t="str">
        <x:f>IF(A458="","",Students!G458)</x:f>
      </x:c>
      <x:c r="D458" s="17" t="str">
        <x:f>IF(A458="","",Students!H458)</x:f>
      </x:c>
      <x:c r="E458" s="22" t="str">
        <x:f>IF(A458="","",COUNTIFS(Late_Transactions!E:E,A458,Late_Transactions!K:K,"Recorded"))</x:f>
      </x:c>
      <x:c r="F458" s="21" t="n">
        <x:f>IFERROR(MAXIFS(Late_Transactions!C:C,Late_Transactions!E:E,A458,Late_Transactions!K:K,"Recorded"),"")</x:f>
        <x:v>0</x:v>
      </x:c>
      <x:c r="G458" s="17" t="str">
        <x:f>IF(E458="","",IF(E458&gt;=5,"High",IF(E458&gt;=3,"Watch","OK")))</x:f>
      </x:c>
    </x:row>
    <x:row r="459">
      <x:c r="A459" s="17" t="str">
        <x:f>IF(Students!A459="","",Students!A459)</x:f>
      </x:c>
      <x:c r="B459" s="17" t="str">
        <x:f>IF(A459="","",Students!F459)</x:f>
      </x:c>
      <x:c r="C459" s="17" t="str">
        <x:f>IF(A459="","",Students!G459)</x:f>
      </x:c>
      <x:c r="D459" s="17" t="str">
        <x:f>IF(A459="","",Students!H459)</x:f>
      </x:c>
      <x:c r="E459" s="22" t="str">
        <x:f>IF(A459="","",COUNTIFS(Late_Transactions!E:E,A459,Late_Transactions!K:K,"Recorded"))</x:f>
      </x:c>
      <x:c r="F459" s="21" t="n">
        <x:f>IFERROR(MAXIFS(Late_Transactions!C:C,Late_Transactions!E:E,A459,Late_Transactions!K:K,"Recorded"),"")</x:f>
        <x:v>0</x:v>
      </x:c>
      <x:c r="G459" s="17" t="str">
        <x:f>IF(E459="","",IF(E459&gt;=5,"High",IF(E459&gt;=3,"Watch","OK")))</x:f>
      </x:c>
    </x:row>
    <x:row r="460">
      <x:c r="A460" s="17" t="str">
        <x:f>IF(Students!A460="","",Students!A460)</x:f>
      </x:c>
      <x:c r="B460" s="17" t="str">
        <x:f>IF(A460="","",Students!F460)</x:f>
      </x:c>
      <x:c r="C460" s="17" t="str">
        <x:f>IF(A460="","",Students!G460)</x:f>
      </x:c>
      <x:c r="D460" s="17" t="str">
        <x:f>IF(A460="","",Students!H460)</x:f>
      </x:c>
      <x:c r="E460" s="22" t="str">
        <x:f>IF(A460="","",COUNTIFS(Late_Transactions!E:E,A460,Late_Transactions!K:K,"Recorded"))</x:f>
      </x:c>
      <x:c r="F460" s="21" t="n">
        <x:f>IFERROR(MAXIFS(Late_Transactions!C:C,Late_Transactions!E:E,A460,Late_Transactions!K:K,"Recorded"),"")</x:f>
        <x:v>0</x:v>
      </x:c>
      <x:c r="G460" s="17" t="str">
        <x:f>IF(E460="","",IF(E460&gt;=5,"High",IF(E460&gt;=3,"Watch","OK")))</x:f>
      </x:c>
    </x:row>
    <x:row r="461">
      <x:c r="A461" s="17" t="str">
        <x:f>IF(Students!A461="","",Students!A461)</x:f>
      </x:c>
      <x:c r="B461" s="17" t="str">
        <x:f>IF(A461="","",Students!F461)</x:f>
      </x:c>
      <x:c r="C461" s="17" t="str">
        <x:f>IF(A461="","",Students!G461)</x:f>
      </x:c>
      <x:c r="D461" s="17" t="str">
        <x:f>IF(A461="","",Students!H461)</x:f>
      </x:c>
      <x:c r="E461" s="22" t="str">
        <x:f>IF(A461="","",COUNTIFS(Late_Transactions!E:E,A461,Late_Transactions!K:K,"Recorded"))</x:f>
      </x:c>
      <x:c r="F461" s="21" t="n">
        <x:f>IFERROR(MAXIFS(Late_Transactions!C:C,Late_Transactions!E:E,A461,Late_Transactions!K:K,"Recorded"),"")</x:f>
        <x:v>0</x:v>
      </x:c>
      <x:c r="G461" s="17" t="str">
        <x:f>IF(E461="","",IF(E461&gt;=5,"High",IF(E461&gt;=3,"Watch","OK")))</x:f>
      </x:c>
    </x:row>
    <x:row r="462">
      <x:c r="A462" s="17" t="str">
        <x:f>IF(Students!A462="","",Students!A462)</x:f>
      </x:c>
      <x:c r="B462" s="17" t="str">
        <x:f>IF(A462="","",Students!F462)</x:f>
      </x:c>
      <x:c r="C462" s="17" t="str">
        <x:f>IF(A462="","",Students!G462)</x:f>
      </x:c>
      <x:c r="D462" s="17" t="str">
        <x:f>IF(A462="","",Students!H462)</x:f>
      </x:c>
      <x:c r="E462" s="22" t="str">
        <x:f>IF(A462="","",COUNTIFS(Late_Transactions!E:E,A462,Late_Transactions!K:K,"Recorded"))</x:f>
      </x:c>
      <x:c r="F462" s="21" t="n">
        <x:f>IFERROR(MAXIFS(Late_Transactions!C:C,Late_Transactions!E:E,A462,Late_Transactions!K:K,"Recorded"),"")</x:f>
        <x:v>0</x:v>
      </x:c>
      <x:c r="G462" s="17" t="str">
        <x:f>IF(E462="","",IF(E462&gt;=5,"High",IF(E462&gt;=3,"Watch","OK")))</x:f>
      </x:c>
    </x:row>
    <x:row r="463">
      <x:c r="A463" s="17" t="str">
        <x:f>IF(Students!A463="","",Students!A463)</x:f>
      </x:c>
      <x:c r="B463" s="17" t="str">
        <x:f>IF(A463="","",Students!F463)</x:f>
      </x:c>
      <x:c r="C463" s="17" t="str">
        <x:f>IF(A463="","",Students!G463)</x:f>
      </x:c>
      <x:c r="D463" s="17" t="str">
        <x:f>IF(A463="","",Students!H463)</x:f>
      </x:c>
      <x:c r="E463" s="22" t="str">
        <x:f>IF(A463="","",COUNTIFS(Late_Transactions!E:E,A463,Late_Transactions!K:K,"Recorded"))</x:f>
      </x:c>
      <x:c r="F463" s="21" t="n">
        <x:f>IFERROR(MAXIFS(Late_Transactions!C:C,Late_Transactions!E:E,A463,Late_Transactions!K:K,"Recorded"),"")</x:f>
        <x:v>0</x:v>
      </x:c>
      <x:c r="G463" s="17" t="str">
        <x:f>IF(E463="","",IF(E463&gt;=5,"High",IF(E463&gt;=3,"Watch","OK")))</x:f>
      </x:c>
    </x:row>
    <x:row r="464">
      <x:c r="A464" s="17" t="str">
        <x:f>IF(Students!A464="","",Students!A464)</x:f>
      </x:c>
      <x:c r="B464" s="17" t="str">
        <x:f>IF(A464="","",Students!F464)</x:f>
      </x:c>
      <x:c r="C464" s="17" t="str">
        <x:f>IF(A464="","",Students!G464)</x:f>
      </x:c>
      <x:c r="D464" s="17" t="str">
        <x:f>IF(A464="","",Students!H464)</x:f>
      </x:c>
      <x:c r="E464" s="22" t="str">
        <x:f>IF(A464="","",COUNTIFS(Late_Transactions!E:E,A464,Late_Transactions!K:K,"Recorded"))</x:f>
      </x:c>
      <x:c r="F464" s="21" t="n">
        <x:f>IFERROR(MAXIFS(Late_Transactions!C:C,Late_Transactions!E:E,A464,Late_Transactions!K:K,"Recorded"),"")</x:f>
        <x:v>0</x:v>
      </x:c>
      <x:c r="G464" s="17" t="str">
        <x:f>IF(E464="","",IF(E464&gt;=5,"High",IF(E464&gt;=3,"Watch","OK")))</x:f>
      </x:c>
    </x:row>
    <x:row r="465">
      <x:c r="A465" s="17" t="str">
        <x:f>IF(Students!A465="","",Students!A465)</x:f>
      </x:c>
      <x:c r="B465" s="17" t="str">
        <x:f>IF(A465="","",Students!F465)</x:f>
      </x:c>
      <x:c r="C465" s="17" t="str">
        <x:f>IF(A465="","",Students!G465)</x:f>
      </x:c>
      <x:c r="D465" s="17" t="str">
        <x:f>IF(A465="","",Students!H465)</x:f>
      </x:c>
      <x:c r="E465" s="22" t="str">
        <x:f>IF(A465="","",COUNTIFS(Late_Transactions!E:E,A465,Late_Transactions!K:K,"Recorded"))</x:f>
      </x:c>
      <x:c r="F465" s="21" t="n">
        <x:f>IFERROR(MAXIFS(Late_Transactions!C:C,Late_Transactions!E:E,A465,Late_Transactions!K:K,"Recorded"),"")</x:f>
        <x:v>0</x:v>
      </x:c>
      <x:c r="G465" s="17" t="str">
        <x:f>IF(E465="","",IF(E465&gt;=5,"High",IF(E465&gt;=3,"Watch","OK")))</x:f>
      </x:c>
    </x:row>
    <x:row r="466">
      <x:c r="A466" s="17" t="str">
        <x:f>IF(Students!A466="","",Students!A466)</x:f>
      </x:c>
      <x:c r="B466" s="17" t="str">
        <x:f>IF(A466="","",Students!F466)</x:f>
      </x:c>
      <x:c r="C466" s="17" t="str">
        <x:f>IF(A466="","",Students!G466)</x:f>
      </x:c>
      <x:c r="D466" s="17" t="str">
        <x:f>IF(A466="","",Students!H466)</x:f>
      </x:c>
      <x:c r="E466" s="22" t="str">
        <x:f>IF(A466="","",COUNTIFS(Late_Transactions!E:E,A466,Late_Transactions!K:K,"Recorded"))</x:f>
      </x:c>
      <x:c r="F466" s="21" t="n">
        <x:f>IFERROR(MAXIFS(Late_Transactions!C:C,Late_Transactions!E:E,A466,Late_Transactions!K:K,"Recorded"),"")</x:f>
        <x:v>0</x:v>
      </x:c>
      <x:c r="G466" s="17" t="str">
        <x:f>IF(E466="","",IF(E466&gt;=5,"High",IF(E466&gt;=3,"Watch","OK")))</x:f>
      </x:c>
    </x:row>
    <x:row r="467">
      <x:c r="A467" s="17" t="str">
        <x:f>IF(Students!A467="","",Students!A467)</x:f>
      </x:c>
      <x:c r="B467" s="17" t="str">
        <x:f>IF(A467="","",Students!F467)</x:f>
      </x:c>
      <x:c r="C467" s="17" t="str">
        <x:f>IF(A467="","",Students!G467)</x:f>
      </x:c>
      <x:c r="D467" s="17" t="str">
        <x:f>IF(A467="","",Students!H467)</x:f>
      </x:c>
      <x:c r="E467" s="22" t="str">
        <x:f>IF(A467="","",COUNTIFS(Late_Transactions!E:E,A467,Late_Transactions!K:K,"Recorded"))</x:f>
      </x:c>
      <x:c r="F467" s="21" t="n">
        <x:f>IFERROR(MAXIFS(Late_Transactions!C:C,Late_Transactions!E:E,A467,Late_Transactions!K:K,"Recorded"),"")</x:f>
        <x:v>0</x:v>
      </x:c>
      <x:c r="G467" s="17" t="str">
        <x:f>IF(E467="","",IF(E467&gt;=5,"High",IF(E467&gt;=3,"Watch","OK")))</x:f>
      </x:c>
    </x:row>
    <x:row r="468">
      <x:c r="A468" s="17" t="str">
        <x:f>IF(Students!A468="","",Students!A468)</x:f>
      </x:c>
      <x:c r="B468" s="17" t="str">
        <x:f>IF(A468="","",Students!F468)</x:f>
      </x:c>
      <x:c r="C468" s="17" t="str">
        <x:f>IF(A468="","",Students!G468)</x:f>
      </x:c>
      <x:c r="D468" s="17" t="str">
        <x:f>IF(A468="","",Students!H468)</x:f>
      </x:c>
      <x:c r="E468" s="22" t="str">
        <x:f>IF(A468="","",COUNTIFS(Late_Transactions!E:E,A468,Late_Transactions!K:K,"Recorded"))</x:f>
      </x:c>
      <x:c r="F468" s="21" t="n">
        <x:f>IFERROR(MAXIFS(Late_Transactions!C:C,Late_Transactions!E:E,A468,Late_Transactions!K:K,"Recorded"),"")</x:f>
        <x:v>0</x:v>
      </x:c>
      <x:c r="G468" s="17" t="str">
        <x:f>IF(E468="","",IF(E468&gt;=5,"High",IF(E468&gt;=3,"Watch","OK")))</x:f>
      </x:c>
    </x:row>
    <x:row r="469">
      <x:c r="A469" s="17" t="str">
        <x:f>IF(Students!A469="","",Students!A469)</x:f>
      </x:c>
      <x:c r="B469" s="17" t="str">
        <x:f>IF(A469="","",Students!F469)</x:f>
      </x:c>
      <x:c r="C469" s="17" t="str">
        <x:f>IF(A469="","",Students!G469)</x:f>
      </x:c>
      <x:c r="D469" s="17" t="str">
        <x:f>IF(A469="","",Students!H469)</x:f>
      </x:c>
      <x:c r="E469" s="22" t="str">
        <x:f>IF(A469="","",COUNTIFS(Late_Transactions!E:E,A469,Late_Transactions!K:K,"Recorded"))</x:f>
      </x:c>
      <x:c r="F469" s="21" t="n">
        <x:f>IFERROR(MAXIFS(Late_Transactions!C:C,Late_Transactions!E:E,A469,Late_Transactions!K:K,"Recorded"),"")</x:f>
        <x:v>0</x:v>
      </x:c>
      <x:c r="G469" s="17" t="str">
        <x:f>IF(E469="","",IF(E469&gt;=5,"High",IF(E469&gt;=3,"Watch","OK")))</x:f>
      </x:c>
    </x:row>
    <x:row r="470">
      <x:c r="A470" s="17" t="str">
        <x:f>IF(Students!A470="","",Students!A470)</x:f>
      </x:c>
      <x:c r="B470" s="17" t="str">
        <x:f>IF(A470="","",Students!F470)</x:f>
      </x:c>
      <x:c r="C470" s="17" t="str">
        <x:f>IF(A470="","",Students!G470)</x:f>
      </x:c>
      <x:c r="D470" s="17" t="str">
        <x:f>IF(A470="","",Students!H470)</x:f>
      </x:c>
      <x:c r="E470" s="22" t="str">
        <x:f>IF(A470="","",COUNTIFS(Late_Transactions!E:E,A470,Late_Transactions!K:K,"Recorded"))</x:f>
      </x:c>
      <x:c r="F470" s="21" t="n">
        <x:f>IFERROR(MAXIFS(Late_Transactions!C:C,Late_Transactions!E:E,A470,Late_Transactions!K:K,"Recorded"),"")</x:f>
        <x:v>0</x:v>
      </x:c>
      <x:c r="G470" s="17" t="str">
        <x:f>IF(E470="","",IF(E470&gt;=5,"High",IF(E470&gt;=3,"Watch","OK")))</x:f>
      </x:c>
    </x:row>
    <x:row r="471">
      <x:c r="A471" s="17" t="str">
        <x:f>IF(Students!A471="","",Students!A471)</x:f>
      </x:c>
      <x:c r="B471" s="17" t="str">
        <x:f>IF(A471="","",Students!F471)</x:f>
      </x:c>
      <x:c r="C471" s="17" t="str">
        <x:f>IF(A471="","",Students!G471)</x:f>
      </x:c>
      <x:c r="D471" s="17" t="str">
        <x:f>IF(A471="","",Students!H471)</x:f>
      </x:c>
      <x:c r="E471" s="22" t="str">
        <x:f>IF(A471="","",COUNTIFS(Late_Transactions!E:E,A471,Late_Transactions!K:K,"Recorded"))</x:f>
      </x:c>
      <x:c r="F471" s="21" t="n">
        <x:f>IFERROR(MAXIFS(Late_Transactions!C:C,Late_Transactions!E:E,A471,Late_Transactions!K:K,"Recorded"),"")</x:f>
        <x:v>0</x:v>
      </x:c>
      <x:c r="G471" s="17" t="str">
        <x:f>IF(E471="","",IF(E471&gt;=5,"High",IF(E471&gt;=3,"Watch","OK")))</x:f>
      </x:c>
    </x:row>
    <x:row r="472">
      <x:c r="A472" s="17" t="str">
        <x:f>IF(Students!A472="","",Students!A472)</x:f>
      </x:c>
      <x:c r="B472" s="17" t="str">
        <x:f>IF(A472="","",Students!F472)</x:f>
      </x:c>
      <x:c r="C472" s="17" t="str">
        <x:f>IF(A472="","",Students!G472)</x:f>
      </x:c>
      <x:c r="D472" s="17" t="str">
        <x:f>IF(A472="","",Students!H472)</x:f>
      </x:c>
      <x:c r="E472" s="22" t="str">
        <x:f>IF(A472="","",COUNTIFS(Late_Transactions!E:E,A472,Late_Transactions!K:K,"Recorded"))</x:f>
      </x:c>
      <x:c r="F472" s="21" t="n">
        <x:f>IFERROR(MAXIFS(Late_Transactions!C:C,Late_Transactions!E:E,A472,Late_Transactions!K:K,"Recorded"),"")</x:f>
        <x:v>0</x:v>
      </x:c>
      <x:c r="G472" s="17" t="str">
        <x:f>IF(E472="","",IF(E472&gt;=5,"High",IF(E472&gt;=3,"Watch","OK")))</x:f>
      </x:c>
    </x:row>
    <x:row r="473">
      <x:c r="A473" s="17" t="str">
        <x:f>IF(Students!A473="","",Students!A473)</x:f>
      </x:c>
      <x:c r="B473" s="17" t="str">
        <x:f>IF(A473="","",Students!F473)</x:f>
      </x:c>
      <x:c r="C473" s="17" t="str">
        <x:f>IF(A473="","",Students!G473)</x:f>
      </x:c>
      <x:c r="D473" s="17" t="str">
        <x:f>IF(A473="","",Students!H473)</x:f>
      </x:c>
      <x:c r="E473" s="22" t="str">
        <x:f>IF(A473="","",COUNTIFS(Late_Transactions!E:E,A473,Late_Transactions!K:K,"Recorded"))</x:f>
      </x:c>
      <x:c r="F473" s="21" t="n">
        <x:f>IFERROR(MAXIFS(Late_Transactions!C:C,Late_Transactions!E:E,A473,Late_Transactions!K:K,"Recorded"),"")</x:f>
        <x:v>0</x:v>
      </x:c>
      <x:c r="G473" s="17" t="str">
        <x:f>IF(E473="","",IF(E473&gt;=5,"High",IF(E473&gt;=3,"Watch","OK")))</x:f>
      </x:c>
    </x:row>
    <x:row r="474">
      <x:c r="A474" s="17" t="str">
        <x:f>IF(Students!A474="","",Students!A474)</x:f>
      </x:c>
      <x:c r="B474" s="17" t="str">
        <x:f>IF(A474="","",Students!F474)</x:f>
      </x:c>
      <x:c r="C474" s="17" t="str">
        <x:f>IF(A474="","",Students!G474)</x:f>
      </x:c>
      <x:c r="D474" s="17" t="str">
        <x:f>IF(A474="","",Students!H474)</x:f>
      </x:c>
      <x:c r="E474" s="22" t="str">
        <x:f>IF(A474="","",COUNTIFS(Late_Transactions!E:E,A474,Late_Transactions!K:K,"Recorded"))</x:f>
      </x:c>
      <x:c r="F474" s="21" t="n">
        <x:f>IFERROR(MAXIFS(Late_Transactions!C:C,Late_Transactions!E:E,A474,Late_Transactions!K:K,"Recorded"),"")</x:f>
        <x:v>0</x:v>
      </x:c>
      <x:c r="G474" s="17" t="str">
        <x:f>IF(E474="","",IF(E474&gt;=5,"High",IF(E474&gt;=3,"Watch","OK")))</x:f>
      </x:c>
    </x:row>
    <x:row r="475">
      <x:c r="A475" s="17" t="str">
        <x:f>IF(Students!A475="","",Students!A475)</x:f>
      </x:c>
      <x:c r="B475" s="17" t="str">
        <x:f>IF(A475="","",Students!F475)</x:f>
      </x:c>
      <x:c r="C475" s="17" t="str">
        <x:f>IF(A475="","",Students!G475)</x:f>
      </x:c>
      <x:c r="D475" s="17" t="str">
        <x:f>IF(A475="","",Students!H475)</x:f>
      </x:c>
      <x:c r="E475" s="22" t="str">
        <x:f>IF(A475="","",COUNTIFS(Late_Transactions!E:E,A475,Late_Transactions!K:K,"Recorded"))</x:f>
      </x:c>
      <x:c r="F475" s="21" t="n">
        <x:f>IFERROR(MAXIFS(Late_Transactions!C:C,Late_Transactions!E:E,A475,Late_Transactions!K:K,"Recorded"),"")</x:f>
        <x:v>0</x:v>
      </x:c>
      <x:c r="G475" s="17" t="str">
        <x:f>IF(E475="","",IF(E475&gt;=5,"High",IF(E475&gt;=3,"Watch","OK")))</x:f>
      </x:c>
    </x:row>
    <x:row r="476">
      <x:c r="A476" s="17" t="str">
        <x:f>IF(Students!A476="","",Students!A476)</x:f>
      </x:c>
      <x:c r="B476" s="17" t="str">
        <x:f>IF(A476="","",Students!F476)</x:f>
      </x:c>
      <x:c r="C476" s="17" t="str">
        <x:f>IF(A476="","",Students!G476)</x:f>
      </x:c>
      <x:c r="D476" s="17" t="str">
        <x:f>IF(A476="","",Students!H476)</x:f>
      </x:c>
      <x:c r="E476" s="22" t="str">
        <x:f>IF(A476="","",COUNTIFS(Late_Transactions!E:E,A476,Late_Transactions!K:K,"Recorded"))</x:f>
      </x:c>
      <x:c r="F476" s="21" t="n">
        <x:f>IFERROR(MAXIFS(Late_Transactions!C:C,Late_Transactions!E:E,A476,Late_Transactions!K:K,"Recorded"),"")</x:f>
        <x:v>0</x:v>
      </x:c>
      <x:c r="G476" s="17" t="str">
        <x:f>IF(E476="","",IF(E476&gt;=5,"High",IF(E476&gt;=3,"Watch","OK")))</x:f>
      </x:c>
    </x:row>
    <x:row r="477">
      <x:c r="A477" s="17" t="str">
        <x:f>IF(Students!A477="","",Students!A477)</x:f>
      </x:c>
      <x:c r="B477" s="17" t="str">
        <x:f>IF(A477="","",Students!F477)</x:f>
      </x:c>
      <x:c r="C477" s="17" t="str">
        <x:f>IF(A477="","",Students!G477)</x:f>
      </x:c>
      <x:c r="D477" s="17" t="str">
        <x:f>IF(A477="","",Students!H477)</x:f>
      </x:c>
      <x:c r="E477" s="22" t="str">
        <x:f>IF(A477="","",COUNTIFS(Late_Transactions!E:E,A477,Late_Transactions!K:K,"Recorded"))</x:f>
      </x:c>
      <x:c r="F477" s="21" t="n">
        <x:f>IFERROR(MAXIFS(Late_Transactions!C:C,Late_Transactions!E:E,A477,Late_Transactions!K:K,"Recorded"),"")</x:f>
        <x:v>0</x:v>
      </x:c>
      <x:c r="G477" s="17" t="str">
        <x:f>IF(E477="","",IF(E477&gt;=5,"High",IF(E477&gt;=3,"Watch","OK")))</x:f>
      </x:c>
    </x:row>
    <x:row r="478">
      <x:c r="A478" s="17" t="str">
        <x:f>IF(Students!A478="","",Students!A478)</x:f>
      </x:c>
      <x:c r="B478" s="17" t="str">
        <x:f>IF(A478="","",Students!F478)</x:f>
      </x:c>
      <x:c r="C478" s="17" t="str">
        <x:f>IF(A478="","",Students!G478)</x:f>
      </x:c>
      <x:c r="D478" s="17" t="str">
        <x:f>IF(A478="","",Students!H478)</x:f>
      </x:c>
      <x:c r="E478" s="22" t="str">
        <x:f>IF(A478="","",COUNTIFS(Late_Transactions!E:E,A478,Late_Transactions!K:K,"Recorded"))</x:f>
      </x:c>
      <x:c r="F478" s="21" t="n">
        <x:f>IFERROR(MAXIFS(Late_Transactions!C:C,Late_Transactions!E:E,A478,Late_Transactions!K:K,"Recorded"),"")</x:f>
        <x:v>0</x:v>
      </x:c>
      <x:c r="G478" s="17" t="str">
        <x:f>IF(E478="","",IF(E478&gt;=5,"High",IF(E478&gt;=3,"Watch","OK")))</x:f>
      </x:c>
    </x:row>
    <x:row r="479">
      <x:c r="A479" s="17" t="str">
        <x:f>IF(Students!A479="","",Students!A479)</x:f>
      </x:c>
      <x:c r="B479" s="17" t="str">
        <x:f>IF(A479="","",Students!F479)</x:f>
      </x:c>
      <x:c r="C479" s="17" t="str">
        <x:f>IF(A479="","",Students!G479)</x:f>
      </x:c>
      <x:c r="D479" s="17" t="str">
        <x:f>IF(A479="","",Students!H479)</x:f>
      </x:c>
      <x:c r="E479" s="22" t="str">
        <x:f>IF(A479="","",COUNTIFS(Late_Transactions!E:E,A479,Late_Transactions!K:K,"Recorded"))</x:f>
      </x:c>
      <x:c r="F479" s="21" t="n">
        <x:f>IFERROR(MAXIFS(Late_Transactions!C:C,Late_Transactions!E:E,A479,Late_Transactions!K:K,"Recorded"),"")</x:f>
        <x:v>0</x:v>
      </x:c>
      <x:c r="G479" s="17" t="str">
        <x:f>IF(E479="","",IF(E479&gt;=5,"High",IF(E479&gt;=3,"Watch","OK")))</x:f>
      </x:c>
    </x:row>
    <x:row r="480">
      <x:c r="A480" s="17" t="str">
        <x:f>IF(Students!A480="","",Students!A480)</x:f>
      </x:c>
      <x:c r="B480" s="17" t="str">
        <x:f>IF(A480="","",Students!F480)</x:f>
      </x:c>
      <x:c r="C480" s="17" t="str">
        <x:f>IF(A480="","",Students!G480)</x:f>
      </x:c>
      <x:c r="D480" s="17" t="str">
        <x:f>IF(A480="","",Students!H480)</x:f>
      </x:c>
      <x:c r="E480" s="22" t="str">
        <x:f>IF(A480="","",COUNTIFS(Late_Transactions!E:E,A480,Late_Transactions!K:K,"Recorded"))</x:f>
      </x:c>
      <x:c r="F480" s="21" t="n">
        <x:f>IFERROR(MAXIFS(Late_Transactions!C:C,Late_Transactions!E:E,A480,Late_Transactions!K:K,"Recorded"),"")</x:f>
        <x:v>0</x:v>
      </x:c>
      <x:c r="G480" s="17" t="str">
        <x:f>IF(E480="","",IF(E480&gt;=5,"High",IF(E480&gt;=3,"Watch","OK")))</x:f>
      </x:c>
    </x:row>
    <x:row r="481">
      <x:c r="A481" s="17" t="str">
        <x:f>IF(Students!A481="","",Students!A481)</x:f>
      </x:c>
      <x:c r="B481" s="17" t="str">
        <x:f>IF(A481="","",Students!F481)</x:f>
      </x:c>
      <x:c r="C481" s="17" t="str">
        <x:f>IF(A481="","",Students!G481)</x:f>
      </x:c>
      <x:c r="D481" s="17" t="str">
        <x:f>IF(A481="","",Students!H481)</x:f>
      </x:c>
      <x:c r="E481" s="22" t="str">
        <x:f>IF(A481="","",COUNTIFS(Late_Transactions!E:E,A481,Late_Transactions!K:K,"Recorded"))</x:f>
      </x:c>
      <x:c r="F481" s="21" t="n">
        <x:f>IFERROR(MAXIFS(Late_Transactions!C:C,Late_Transactions!E:E,A481,Late_Transactions!K:K,"Recorded"),"")</x:f>
        <x:v>0</x:v>
      </x:c>
      <x:c r="G481" s="17" t="str">
        <x:f>IF(E481="","",IF(E481&gt;=5,"High",IF(E481&gt;=3,"Watch","OK")))</x:f>
      </x:c>
    </x:row>
    <x:row r="482">
      <x:c r="A482" s="17" t="str">
        <x:f>IF(Students!A482="","",Students!A482)</x:f>
      </x:c>
      <x:c r="B482" s="17" t="str">
        <x:f>IF(A482="","",Students!F482)</x:f>
      </x:c>
      <x:c r="C482" s="17" t="str">
        <x:f>IF(A482="","",Students!G482)</x:f>
      </x:c>
      <x:c r="D482" s="17" t="str">
        <x:f>IF(A482="","",Students!H482)</x:f>
      </x:c>
      <x:c r="E482" s="22" t="str">
        <x:f>IF(A482="","",COUNTIFS(Late_Transactions!E:E,A482,Late_Transactions!K:K,"Recorded"))</x:f>
      </x:c>
      <x:c r="F482" s="21" t="n">
        <x:f>IFERROR(MAXIFS(Late_Transactions!C:C,Late_Transactions!E:E,A482,Late_Transactions!K:K,"Recorded"),"")</x:f>
        <x:v>0</x:v>
      </x:c>
      <x:c r="G482" s="17" t="str">
        <x:f>IF(E482="","",IF(E482&gt;=5,"High",IF(E482&gt;=3,"Watch","OK")))</x:f>
      </x:c>
    </x:row>
    <x:row r="483">
      <x:c r="A483" s="17" t="str">
        <x:f>IF(Students!A483="","",Students!A483)</x:f>
      </x:c>
      <x:c r="B483" s="17" t="str">
        <x:f>IF(A483="","",Students!F483)</x:f>
      </x:c>
      <x:c r="C483" s="17" t="str">
        <x:f>IF(A483="","",Students!G483)</x:f>
      </x:c>
      <x:c r="D483" s="17" t="str">
        <x:f>IF(A483="","",Students!H483)</x:f>
      </x:c>
      <x:c r="E483" s="22" t="str">
        <x:f>IF(A483="","",COUNTIFS(Late_Transactions!E:E,A483,Late_Transactions!K:K,"Recorded"))</x:f>
      </x:c>
      <x:c r="F483" s="21" t="n">
        <x:f>IFERROR(MAXIFS(Late_Transactions!C:C,Late_Transactions!E:E,A483,Late_Transactions!K:K,"Recorded"),"")</x:f>
        <x:v>0</x:v>
      </x:c>
      <x:c r="G483" s="17" t="str">
        <x:f>IF(E483="","",IF(E483&gt;=5,"High",IF(E483&gt;=3,"Watch","OK")))</x:f>
      </x:c>
    </x:row>
    <x:row r="484">
      <x:c r="A484" s="17" t="str">
        <x:f>IF(Students!A484="","",Students!A484)</x:f>
      </x:c>
      <x:c r="B484" s="17" t="str">
        <x:f>IF(A484="","",Students!F484)</x:f>
      </x:c>
      <x:c r="C484" s="17" t="str">
        <x:f>IF(A484="","",Students!G484)</x:f>
      </x:c>
      <x:c r="D484" s="17" t="str">
        <x:f>IF(A484="","",Students!H484)</x:f>
      </x:c>
      <x:c r="E484" s="22" t="str">
        <x:f>IF(A484="","",COUNTIFS(Late_Transactions!E:E,A484,Late_Transactions!K:K,"Recorded"))</x:f>
      </x:c>
      <x:c r="F484" s="21" t="n">
        <x:f>IFERROR(MAXIFS(Late_Transactions!C:C,Late_Transactions!E:E,A484,Late_Transactions!K:K,"Recorded"),"")</x:f>
        <x:v>0</x:v>
      </x:c>
      <x:c r="G484" s="17" t="str">
        <x:f>IF(E484="","",IF(E484&gt;=5,"High",IF(E484&gt;=3,"Watch","OK")))</x:f>
      </x:c>
    </x:row>
    <x:row r="485">
      <x:c r="A485" s="17" t="str">
        <x:f>IF(Students!A485="","",Students!A485)</x:f>
      </x:c>
      <x:c r="B485" s="17" t="str">
        <x:f>IF(A485="","",Students!F485)</x:f>
      </x:c>
      <x:c r="C485" s="17" t="str">
        <x:f>IF(A485="","",Students!G485)</x:f>
      </x:c>
      <x:c r="D485" s="17" t="str">
        <x:f>IF(A485="","",Students!H485)</x:f>
      </x:c>
      <x:c r="E485" s="22" t="str">
        <x:f>IF(A485="","",COUNTIFS(Late_Transactions!E:E,A485,Late_Transactions!K:K,"Recorded"))</x:f>
      </x:c>
      <x:c r="F485" s="21" t="n">
        <x:f>IFERROR(MAXIFS(Late_Transactions!C:C,Late_Transactions!E:E,A485,Late_Transactions!K:K,"Recorded"),"")</x:f>
        <x:v>0</x:v>
      </x:c>
      <x:c r="G485" s="17" t="str">
        <x:f>IF(E485="","",IF(E485&gt;=5,"High",IF(E485&gt;=3,"Watch","OK")))</x:f>
      </x:c>
    </x:row>
    <x:row r="486">
      <x:c r="A486" s="17" t="str">
        <x:f>IF(Students!A486="","",Students!A486)</x:f>
      </x:c>
      <x:c r="B486" s="17" t="str">
        <x:f>IF(A486="","",Students!F486)</x:f>
      </x:c>
      <x:c r="C486" s="17" t="str">
        <x:f>IF(A486="","",Students!G486)</x:f>
      </x:c>
      <x:c r="D486" s="17" t="str">
        <x:f>IF(A486="","",Students!H486)</x:f>
      </x:c>
      <x:c r="E486" s="22" t="str">
        <x:f>IF(A486="","",COUNTIFS(Late_Transactions!E:E,A486,Late_Transactions!K:K,"Recorded"))</x:f>
      </x:c>
      <x:c r="F486" s="21" t="n">
        <x:f>IFERROR(MAXIFS(Late_Transactions!C:C,Late_Transactions!E:E,A486,Late_Transactions!K:K,"Recorded"),"")</x:f>
        <x:v>0</x:v>
      </x:c>
      <x:c r="G486" s="17" t="str">
        <x:f>IF(E486="","",IF(E486&gt;=5,"High",IF(E486&gt;=3,"Watch","OK")))</x:f>
      </x:c>
    </x:row>
    <x:row r="487">
      <x:c r="A487" s="17" t="str">
        <x:f>IF(Students!A487="","",Students!A487)</x:f>
      </x:c>
      <x:c r="B487" s="17" t="str">
        <x:f>IF(A487="","",Students!F487)</x:f>
      </x:c>
      <x:c r="C487" s="17" t="str">
        <x:f>IF(A487="","",Students!G487)</x:f>
      </x:c>
      <x:c r="D487" s="17" t="str">
        <x:f>IF(A487="","",Students!H487)</x:f>
      </x:c>
      <x:c r="E487" s="22" t="str">
        <x:f>IF(A487="","",COUNTIFS(Late_Transactions!E:E,A487,Late_Transactions!K:K,"Recorded"))</x:f>
      </x:c>
      <x:c r="F487" s="21" t="n">
        <x:f>IFERROR(MAXIFS(Late_Transactions!C:C,Late_Transactions!E:E,A487,Late_Transactions!K:K,"Recorded"),"")</x:f>
        <x:v>0</x:v>
      </x:c>
      <x:c r="G487" s="17" t="str">
        <x:f>IF(E487="","",IF(E487&gt;=5,"High",IF(E487&gt;=3,"Watch","OK")))</x:f>
      </x:c>
    </x:row>
    <x:row r="488">
      <x:c r="A488" s="17" t="str">
        <x:f>IF(Students!A488="","",Students!A488)</x:f>
      </x:c>
      <x:c r="B488" s="17" t="str">
        <x:f>IF(A488="","",Students!F488)</x:f>
      </x:c>
      <x:c r="C488" s="17" t="str">
        <x:f>IF(A488="","",Students!G488)</x:f>
      </x:c>
      <x:c r="D488" s="17" t="str">
        <x:f>IF(A488="","",Students!H488)</x:f>
      </x:c>
      <x:c r="E488" s="22" t="str">
        <x:f>IF(A488="","",COUNTIFS(Late_Transactions!E:E,A488,Late_Transactions!K:K,"Recorded"))</x:f>
      </x:c>
      <x:c r="F488" s="21" t="n">
        <x:f>IFERROR(MAXIFS(Late_Transactions!C:C,Late_Transactions!E:E,A488,Late_Transactions!K:K,"Recorded"),"")</x:f>
        <x:v>0</x:v>
      </x:c>
      <x:c r="G488" s="17" t="str">
        <x:f>IF(E488="","",IF(E488&gt;=5,"High",IF(E488&gt;=3,"Watch","OK")))</x:f>
      </x:c>
    </x:row>
    <x:row r="489">
      <x:c r="A489" s="17" t="str">
        <x:f>IF(Students!A489="","",Students!A489)</x:f>
      </x:c>
      <x:c r="B489" s="17" t="str">
        <x:f>IF(A489="","",Students!F489)</x:f>
      </x:c>
      <x:c r="C489" s="17" t="str">
        <x:f>IF(A489="","",Students!G489)</x:f>
      </x:c>
      <x:c r="D489" s="17" t="str">
        <x:f>IF(A489="","",Students!H489)</x:f>
      </x:c>
      <x:c r="E489" s="22" t="str">
        <x:f>IF(A489="","",COUNTIFS(Late_Transactions!E:E,A489,Late_Transactions!K:K,"Recorded"))</x:f>
      </x:c>
      <x:c r="F489" s="21" t="n">
        <x:f>IFERROR(MAXIFS(Late_Transactions!C:C,Late_Transactions!E:E,A489,Late_Transactions!K:K,"Recorded"),"")</x:f>
        <x:v>0</x:v>
      </x:c>
      <x:c r="G489" s="17" t="str">
        <x:f>IF(E489="","",IF(E489&gt;=5,"High",IF(E489&gt;=3,"Watch","OK")))</x:f>
      </x:c>
    </x:row>
    <x:row r="490">
      <x:c r="A490" s="17" t="str">
        <x:f>IF(Students!A490="","",Students!A490)</x:f>
      </x:c>
      <x:c r="B490" s="17" t="str">
        <x:f>IF(A490="","",Students!F490)</x:f>
      </x:c>
      <x:c r="C490" s="17" t="str">
        <x:f>IF(A490="","",Students!G490)</x:f>
      </x:c>
      <x:c r="D490" s="17" t="str">
        <x:f>IF(A490="","",Students!H490)</x:f>
      </x:c>
      <x:c r="E490" s="22" t="str">
        <x:f>IF(A490="","",COUNTIFS(Late_Transactions!E:E,A490,Late_Transactions!K:K,"Recorded"))</x:f>
      </x:c>
      <x:c r="F490" s="21" t="n">
        <x:f>IFERROR(MAXIFS(Late_Transactions!C:C,Late_Transactions!E:E,A490,Late_Transactions!K:K,"Recorded"),"")</x:f>
        <x:v>0</x:v>
      </x:c>
      <x:c r="G490" s="17" t="str">
        <x:f>IF(E490="","",IF(E490&gt;=5,"High",IF(E490&gt;=3,"Watch","OK")))</x:f>
      </x:c>
    </x:row>
    <x:row r="491">
      <x:c r="A491" s="17" t="str">
        <x:f>IF(Students!A491="","",Students!A491)</x:f>
      </x:c>
      <x:c r="B491" s="17" t="str">
        <x:f>IF(A491="","",Students!F491)</x:f>
      </x:c>
      <x:c r="C491" s="17" t="str">
        <x:f>IF(A491="","",Students!G491)</x:f>
      </x:c>
      <x:c r="D491" s="17" t="str">
        <x:f>IF(A491="","",Students!H491)</x:f>
      </x:c>
      <x:c r="E491" s="22" t="str">
        <x:f>IF(A491="","",COUNTIFS(Late_Transactions!E:E,A491,Late_Transactions!K:K,"Recorded"))</x:f>
      </x:c>
      <x:c r="F491" s="21" t="n">
        <x:f>IFERROR(MAXIFS(Late_Transactions!C:C,Late_Transactions!E:E,A491,Late_Transactions!K:K,"Recorded"),"")</x:f>
        <x:v>0</x:v>
      </x:c>
      <x:c r="G491" s="17" t="str">
        <x:f>IF(E491="","",IF(E491&gt;=5,"High",IF(E491&gt;=3,"Watch","OK")))</x:f>
      </x:c>
    </x:row>
    <x:row r="492">
      <x:c r="A492" s="17" t="str">
        <x:f>IF(Students!A492="","",Students!A492)</x:f>
      </x:c>
      <x:c r="B492" s="17" t="str">
        <x:f>IF(A492="","",Students!F492)</x:f>
      </x:c>
      <x:c r="C492" s="17" t="str">
        <x:f>IF(A492="","",Students!G492)</x:f>
      </x:c>
      <x:c r="D492" s="17" t="str">
        <x:f>IF(A492="","",Students!H492)</x:f>
      </x:c>
      <x:c r="E492" s="22" t="str">
        <x:f>IF(A492="","",COUNTIFS(Late_Transactions!E:E,A492,Late_Transactions!K:K,"Recorded"))</x:f>
      </x:c>
      <x:c r="F492" s="21" t="n">
        <x:f>IFERROR(MAXIFS(Late_Transactions!C:C,Late_Transactions!E:E,A492,Late_Transactions!K:K,"Recorded"),"")</x:f>
        <x:v>0</x:v>
      </x:c>
      <x:c r="G492" s="17" t="str">
        <x:f>IF(E492="","",IF(E492&gt;=5,"High",IF(E492&gt;=3,"Watch","OK")))</x:f>
      </x:c>
    </x:row>
    <x:row r="493">
      <x:c r="A493" s="17" t="str">
        <x:f>IF(Students!A493="","",Students!A493)</x:f>
      </x:c>
      <x:c r="B493" s="17" t="str">
        <x:f>IF(A493="","",Students!F493)</x:f>
      </x:c>
      <x:c r="C493" s="17" t="str">
        <x:f>IF(A493="","",Students!G493)</x:f>
      </x:c>
      <x:c r="D493" s="17" t="str">
        <x:f>IF(A493="","",Students!H493)</x:f>
      </x:c>
      <x:c r="E493" s="22" t="str">
        <x:f>IF(A493="","",COUNTIFS(Late_Transactions!E:E,A493,Late_Transactions!K:K,"Recorded"))</x:f>
      </x:c>
      <x:c r="F493" s="21" t="n">
        <x:f>IFERROR(MAXIFS(Late_Transactions!C:C,Late_Transactions!E:E,A493,Late_Transactions!K:K,"Recorded"),"")</x:f>
        <x:v>0</x:v>
      </x:c>
      <x:c r="G493" s="17" t="str">
        <x:f>IF(E493="","",IF(E493&gt;=5,"High",IF(E493&gt;=3,"Watch","OK")))</x:f>
      </x:c>
    </x:row>
    <x:row r="494">
      <x:c r="A494" s="17" t="str">
        <x:f>IF(Students!A494="","",Students!A494)</x:f>
      </x:c>
      <x:c r="B494" s="17" t="str">
        <x:f>IF(A494="","",Students!F494)</x:f>
      </x:c>
      <x:c r="C494" s="17" t="str">
        <x:f>IF(A494="","",Students!G494)</x:f>
      </x:c>
      <x:c r="D494" s="17" t="str">
        <x:f>IF(A494="","",Students!H494)</x:f>
      </x:c>
      <x:c r="E494" s="22" t="str">
        <x:f>IF(A494="","",COUNTIFS(Late_Transactions!E:E,A494,Late_Transactions!K:K,"Recorded"))</x:f>
      </x:c>
      <x:c r="F494" s="21" t="n">
        <x:f>IFERROR(MAXIFS(Late_Transactions!C:C,Late_Transactions!E:E,A494,Late_Transactions!K:K,"Recorded"),"")</x:f>
        <x:v>0</x:v>
      </x:c>
      <x:c r="G494" s="17" t="str">
        <x:f>IF(E494="","",IF(E494&gt;=5,"High",IF(E494&gt;=3,"Watch","OK")))</x:f>
      </x:c>
    </x:row>
    <x:row r="495">
      <x:c r="A495" s="17" t="str">
        <x:f>IF(Students!A495="","",Students!A495)</x:f>
      </x:c>
      <x:c r="B495" s="17" t="str">
        <x:f>IF(A495="","",Students!F495)</x:f>
      </x:c>
      <x:c r="C495" s="17" t="str">
        <x:f>IF(A495="","",Students!G495)</x:f>
      </x:c>
      <x:c r="D495" s="17" t="str">
        <x:f>IF(A495="","",Students!H495)</x:f>
      </x:c>
      <x:c r="E495" s="22" t="str">
        <x:f>IF(A495="","",COUNTIFS(Late_Transactions!E:E,A495,Late_Transactions!K:K,"Recorded"))</x:f>
      </x:c>
      <x:c r="F495" s="21" t="n">
        <x:f>IFERROR(MAXIFS(Late_Transactions!C:C,Late_Transactions!E:E,A495,Late_Transactions!K:K,"Recorded"),"")</x:f>
        <x:v>0</x:v>
      </x:c>
      <x:c r="G495" s="17" t="str">
        <x:f>IF(E495="","",IF(E495&gt;=5,"High",IF(E495&gt;=3,"Watch","OK")))</x:f>
      </x:c>
    </x:row>
    <x:row r="496">
      <x:c r="A496" s="17" t="str">
        <x:f>IF(Students!A496="","",Students!A496)</x:f>
      </x:c>
      <x:c r="B496" s="17" t="str">
        <x:f>IF(A496="","",Students!F496)</x:f>
      </x:c>
      <x:c r="C496" s="17" t="str">
        <x:f>IF(A496="","",Students!G496)</x:f>
      </x:c>
      <x:c r="D496" s="17" t="str">
        <x:f>IF(A496="","",Students!H496)</x:f>
      </x:c>
      <x:c r="E496" s="22" t="str">
        <x:f>IF(A496="","",COUNTIFS(Late_Transactions!E:E,A496,Late_Transactions!K:K,"Recorded"))</x:f>
      </x:c>
      <x:c r="F496" s="21" t="n">
        <x:f>IFERROR(MAXIFS(Late_Transactions!C:C,Late_Transactions!E:E,A496,Late_Transactions!K:K,"Recorded"),"")</x:f>
        <x:v>0</x:v>
      </x:c>
      <x:c r="G496" s="17" t="str">
        <x:f>IF(E496="","",IF(E496&gt;=5,"High",IF(E496&gt;=3,"Watch","OK")))</x:f>
      </x:c>
    </x:row>
    <x:row r="497">
      <x:c r="A497" s="17" t="str">
        <x:f>IF(Students!A497="","",Students!A497)</x:f>
      </x:c>
      <x:c r="B497" s="17" t="str">
        <x:f>IF(A497="","",Students!F497)</x:f>
      </x:c>
      <x:c r="C497" s="17" t="str">
        <x:f>IF(A497="","",Students!G497)</x:f>
      </x:c>
      <x:c r="D497" s="17" t="str">
        <x:f>IF(A497="","",Students!H497)</x:f>
      </x:c>
      <x:c r="E497" s="22" t="str">
        <x:f>IF(A497="","",COUNTIFS(Late_Transactions!E:E,A497,Late_Transactions!K:K,"Recorded"))</x:f>
      </x:c>
      <x:c r="F497" s="21" t="n">
        <x:f>IFERROR(MAXIFS(Late_Transactions!C:C,Late_Transactions!E:E,A497,Late_Transactions!K:K,"Recorded"),"")</x:f>
        <x:v>0</x:v>
      </x:c>
      <x:c r="G497" s="17" t="str">
        <x:f>IF(E497="","",IF(E497&gt;=5,"High",IF(E497&gt;=3,"Watch","OK")))</x:f>
      </x:c>
    </x:row>
    <x:row r="498">
      <x:c r="A498" s="17" t="str">
        <x:f>IF(Students!A498="","",Students!A498)</x:f>
      </x:c>
      <x:c r="B498" s="17" t="str">
        <x:f>IF(A498="","",Students!F498)</x:f>
      </x:c>
      <x:c r="C498" s="17" t="str">
        <x:f>IF(A498="","",Students!G498)</x:f>
      </x:c>
      <x:c r="D498" s="17" t="str">
        <x:f>IF(A498="","",Students!H498)</x:f>
      </x:c>
      <x:c r="E498" s="22" t="str">
        <x:f>IF(A498="","",COUNTIFS(Late_Transactions!E:E,A498,Late_Transactions!K:K,"Recorded"))</x:f>
      </x:c>
      <x:c r="F498" s="21" t="n">
        <x:f>IFERROR(MAXIFS(Late_Transactions!C:C,Late_Transactions!E:E,A498,Late_Transactions!K:K,"Recorded"),"")</x:f>
        <x:v>0</x:v>
      </x:c>
      <x:c r="G498" s="17" t="str">
        <x:f>IF(E498="","",IF(E498&gt;=5,"High",IF(E498&gt;=3,"Watch","OK")))</x:f>
      </x:c>
    </x:row>
    <x:row r="499">
      <x:c r="A499" s="17" t="str">
        <x:f>IF(Students!A499="","",Students!A499)</x:f>
      </x:c>
      <x:c r="B499" s="17" t="str">
        <x:f>IF(A499="","",Students!F499)</x:f>
      </x:c>
      <x:c r="C499" s="17" t="str">
        <x:f>IF(A499="","",Students!G499)</x:f>
      </x:c>
      <x:c r="D499" s="17" t="str">
        <x:f>IF(A499="","",Students!H499)</x:f>
      </x:c>
      <x:c r="E499" s="22" t="str">
        <x:f>IF(A499="","",COUNTIFS(Late_Transactions!E:E,A499,Late_Transactions!K:K,"Recorded"))</x:f>
      </x:c>
      <x:c r="F499" s="21" t="n">
        <x:f>IFERROR(MAXIFS(Late_Transactions!C:C,Late_Transactions!E:E,A499,Late_Transactions!K:K,"Recorded"),"")</x:f>
        <x:v>0</x:v>
      </x:c>
      <x:c r="G499" s="17" t="str">
        <x:f>IF(E499="","",IF(E499&gt;=5,"High",IF(E499&gt;=3,"Watch","OK")))</x:f>
      </x:c>
    </x:row>
    <x:row r="500">
      <x:c r="A500" s="17" t="str">
        <x:f>IF(Students!A500="","",Students!A500)</x:f>
      </x:c>
      <x:c r="B500" s="17" t="str">
        <x:f>IF(A500="","",Students!F500)</x:f>
      </x:c>
      <x:c r="C500" s="17" t="str">
        <x:f>IF(A500="","",Students!G500)</x:f>
      </x:c>
      <x:c r="D500" s="17" t="str">
        <x:f>IF(A500="","",Students!H500)</x:f>
      </x:c>
      <x:c r="E500" s="22" t="str">
        <x:f>IF(A500="","",COUNTIFS(Late_Transactions!E:E,A500,Late_Transactions!K:K,"Recorded"))</x:f>
      </x:c>
      <x:c r="F500" s="21" t="n">
        <x:f>IFERROR(MAXIFS(Late_Transactions!C:C,Late_Transactions!E:E,A500,Late_Transactions!K:K,"Recorded"),"")</x:f>
        <x:v>0</x:v>
      </x:c>
      <x:c r="G500" s="17" t="str">
        <x:f>IF(E500="","",IF(E500&gt;=5,"High",IF(E500&gt;=3,"Watch","OK")))</x:f>
      </x:c>
    </x:row>
    <x:row r="501">
      <x:c r="A501" s="17" t="str">
        <x:f>IF(Students!A501="","",Students!A501)</x:f>
      </x:c>
      <x:c r="B501" s="17" t="str">
        <x:f>IF(A501="","",Students!F501)</x:f>
      </x:c>
      <x:c r="C501" s="17" t="str">
        <x:f>IF(A501="","",Students!G501)</x:f>
      </x:c>
      <x:c r="D501" s="17" t="str">
        <x:f>IF(A501="","",Students!H501)</x:f>
      </x:c>
      <x:c r="E501" s="22" t="str">
        <x:f>IF(A501="","",COUNTIFS(Late_Transactions!E:E,A501,Late_Transactions!K:K,"Recorded"))</x:f>
      </x:c>
      <x:c r="F501" s="21" t="n">
        <x:f>IFERROR(MAXIFS(Late_Transactions!C:C,Late_Transactions!E:E,A501,Late_Transactions!K:K,"Recorded"),"")</x:f>
        <x:v>0</x:v>
      </x:c>
      <x:c r="G501" s="17" t="str">
        <x:f>IF(E501="","",IF(E501&gt;=5,"High",IF(E501&gt;=3,"Watch","OK")))</x:f>
      </x:c>
    </x:row>
    <x:row r="502">
      <x:c r="A502" s="17" t="str">
        <x:f>IF(Students!A502="","",Students!A502)</x:f>
      </x:c>
      <x:c r="B502" s="17" t="str">
        <x:f>IF(A502="","",Students!F502)</x:f>
      </x:c>
      <x:c r="C502" s="17" t="str">
        <x:f>IF(A502="","",Students!G502)</x:f>
      </x:c>
      <x:c r="D502" s="17" t="str">
        <x:f>IF(A502="","",Students!H502)</x:f>
      </x:c>
      <x:c r="E502" s="22" t="str">
        <x:f>IF(A502="","",COUNTIFS(Late_Transactions!E:E,A502,Late_Transactions!K:K,"Recorded"))</x:f>
      </x:c>
      <x:c r="F502" s="21" t="n">
        <x:f>IFERROR(MAXIFS(Late_Transactions!C:C,Late_Transactions!E:E,A502,Late_Transactions!K:K,"Recorded"),"")</x:f>
        <x:v>0</x:v>
      </x:c>
      <x:c r="G502" s="17" t="str">
        <x:f>IF(E502="","",IF(E502&gt;=5,"High",IF(E502&gt;=3,"Watch","OK")))</x:f>
      </x:c>
    </x:row>
    <x:row r="503">
      <x:c r="A503" s="17" t="str">
        <x:f>IF(Students!A503="","",Students!A503)</x:f>
      </x:c>
      <x:c r="B503" s="17" t="str">
        <x:f>IF(A503="","",Students!F503)</x:f>
      </x:c>
      <x:c r="C503" s="17" t="str">
        <x:f>IF(A503="","",Students!G503)</x:f>
      </x:c>
      <x:c r="D503" s="17" t="str">
        <x:f>IF(A503="","",Students!H503)</x:f>
      </x:c>
      <x:c r="E503" s="22" t="str">
        <x:f>IF(A503="","",COUNTIFS(Late_Transactions!E:E,A503,Late_Transactions!K:K,"Recorded"))</x:f>
      </x:c>
      <x:c r="F503" s="21" t="n">
        <x:f>IFERROR(MAXIFS(Late_Transactions!C:C,Late_Transactions!E:E,A503,Late_Transactions!K:K,"Recorded"),"")</x:f>
        <x:v>0</x:v>
      </x:c>
      <x:c r="G503" s="17" t="str">
        <x:f>IF(E503="","",IF(E503&gt;=5,"High",IF(E503&gt;=3,"Watch","OK")))</x:f>
      </x:c>
    </x:row>
    <x:row r="504">
      <x:c r="A504" s="17" t="str">
        <x:f>IF(Students!A504="","",Students!A504)</x:f>
      </x:c>
      <x:c r="B504" s="17" t="str">
        <x:f>IF(A504="","",Students!F504)</x:f>
      </x:c>
      <x:c r="C504" s="17" t="str">
        <x:f>IF(A504="","",Students!G504)</x:f>
      </x:c>
      <x:c r="D504" s="17" t="str">
        <x:f>IF(A504="","",Students!H504)</x:f>
      </x:c>
      <x:c r="E504" s="22" t="str">
        <x:f>IF(A504="","",COUNTIFS(Late_Transactions!E:E,A504,Late_Transactions!K:K,"Recorded"))</x:f>
      </x:c>
      <x:c r="F504" s="21" t="n">
        <x:f>IFERROR(MAXIFS(Late_Transactions!C:C,Late_Transactions!E:E,A504,Late_Transactions!K:K,"Recorded"),"")</x:f>
        <x:v>0</x:v>
      </x:c>
      <x:c r="G504" s="17" t="str">
        <x:f>IF(E504="","",IF(E504&gt;=5,"High",IF(E504&gt;=3,"Watch","OK")))</x:f>
      </x:c>
    </x:row>
    <x:row r="505">
      <x:c r="A505" s="17" t="str">
        <x:f>IF(Students!A505="","",Students!A505)</x:f>
      </x:c>
      <x:c r="B505" s="17" t="str">
        <x:f>IF(A505="","",Students!F505)</x:f>
      </x:c>
      <x:c r="C505" s="17" t="str">
        <x:f>IF(A505="","",Students!G505)</x:f>
      </x:c>
      <x:c r="D505" s="17" t="str">
        <x:f>IF(A505="","",Students!H505)</x:f>
      </x:c>
      <x:c r="E505" s="22" t="str">
        <x:f>IF(A505="","",COUNTIFS(Late_Transactions!E:E,A505,Late_Transactions!K:K,"Recorded"))</x:f>
      </x:c>
      <x:c r="F505" s="21" t="n">
        <x:f>IFERROR(MAXIFS(Late_Transactions!C:C,Late_Transactions!E:E,A505,Late_Transactions!K:K,"Recorded"),"")</x:f>
        <x:v>0</x:v>
      </x:c>
      <x:c r="G505" s="17" t="str">
        <x:f>IF(E505="","",IF(E505&gt;=5,"High",IF(E505&gt;=3,"Watch","OK")))</x:f>
      </x:c>
    </x:row>
    <x:row r="506">
      <x:c r="A506" s="17" t="str">
        <x:f>IF(Students!A506="","",Students!A506)</x:f>
      </x:c>
      <x:c r="B506" s="17" t="str">
        <x:f>IF(A506="","",Students!F506)</x:f>
      </x:c>
      <x:c r="C506" s="17" t="str">
        <x:f>IF(A506="","",Students!G506)</x:f>
      </x:c>
      <x:c r="D506" s="17" t="str">
        <x:f>IF(A506="","",Students!H506)</x:f>
      </x:c>
      <x:c r="E506" s="22" t="str">
        <x:f>IF(A506="","",COUNTIFS(Late_Transactions!E:E,A506,Late_Transactions!K:K,"Recorded"))</x:f>
      </x:c>
      <x:c r="F506" s="21" t="n">
        <x:f>IFERROR(MAXIFS(Late_Transactions!C:C,Late_Transactions!E:E,A506,Late_Transactions!K:K,"Recorded"),"")</x:f>
        <x:v>0</x:v>
      </x:c>
      <x:c r="G506" s="17" t="str">
        <x:f>IF(E506="","",IF(E506&gt;=5,"High",IF(E506&gt;=3,"Watch","OK")))</x:f>
      </x:c>
    </x:row>
    <x:row r="507">
      <x:c r="A507" s="17" t="str">
        <x:f>IF(Students!A507="","",Students!A507)</x:f>
      </x:c>
      <x:c r="B507" s="17" t="str">
        <x:f>IF(A507="","",Students!F507)</x:f>
      </x:c>
      <x:c r="C507" s="17" t="str">
        <x:f>IF(A507="","",Students!G507)</x:f>
      </x:c>
      <x:c r="D507" s="17" t="str">
        <x:f>IF(A507="","",Students!H507)</x:f>
      </x:c>
      <x:c r="E507" s="22" t="str">
        <x:f>IF(A507="","",COUNTIFS(Late_Transactions!E:E,A507,Late_Transactions!K:K,"Recorded"))</x:f>
      </x:c>
      <x:c r="F507" s="21" t="n">
        <x:f>IFERROR(MAXIFS(Late_Transactions!C:C,Late_Transactions!E:E,A507,Late_Transactions!K:K,"Recorded"),"")</x:f>
        <x:v>0</x:v>
      </x:c>
      <x:c r="G507" s="17" t="str">
        <x:f>IF(E507="","",IF(E507&gt;=5,"High",IF(E507&gt;=3,"Watch","OK")))</x:f>
      </x:c>
    </x:row>
    <x:row r="508">
      <x:c r="A508" s="17" t="str">
        <x:f>IF(Students!A508="","",Students!A508)</x:f>
      </x:c>
      <x:c r="B508" s="17" t="str">
        <x:f>IF(A508="","",Students!F508)</x:f>
      </x:c>
      <x:c r="C508" s="17" t="str">
        <x:f>IF(A508="","",Students!G508)</x:f>
      </x:c>
      <x:c r="D508" s="17" t="str">
        <x:f>IF(A508="","",Students!H508)</x:f>
      </x:c>
      <x:c r="E508" s="22" t="str">
        <x:f>IF(A508="","",COUNTIFS(Late_Transactions!E:E,A508,Late_Transactions!K:K,"Recorded"))</x:f>
      </x:c>
      <x:c r="F508" s="21" t="n">
        <x:f>IFERROR(MAXIFS(Late_Transactions!C:C,Late_Transactions!E:E,A508,Late_Transactions!K:K,"Recorded"),"")</x:f>
        <x:v>0</x:v>
      </x:c>
      <x:c r="G508" s="17" t="str">
        <x:f>IF(E508="","",IF(E508&gt;=5,"High",IF(E508&gt;=3,"Watch","OK")))</x:f>
      </x:c>
    </x:row>
    <x:row r="509">
      <x:c r="A509" s="17" t="str">
        <x:f>IF(Students!A509="","",Students!A509)</x:f>
      </x:c>
      <x:c r="B509" s="17" t="str">
        <x:f>IF(A509="","",Students!F509)</x:f>
      </x:c>
      <x:c r="C509" s="17" t="str">
        <x:f>IF(A509="","",Students!G509)</x:f>
      </x:c>
      <x:c r="D509" s="17" t="str">
        <x:f>IF(A509="","",Students!H509)</x:f>
      </x:c>
      <x:c r="E509" s="22" t="str">
        <x:f>IF(A509="","",COUNTIFS(Late_Transactions!E:E,A509,Late_Transactions!K:K,"Recorded"))</x:f>
      </x:c>
      <x:c r="F509" s="21" t="n">
        <x:f>IFERROR(MAXIFS(Late_Transactions!C:C,Late_Transactions!E:E,A509,Late_Transactions!K:K,"Recorded"),"")</x:f>
        <x:v>0</x:v>
      </x:c>
      <x:c r="G509" s="17" t="str">
        <x:f>IF(E509="","",IF(E509&gt;=5,"High",IF(E509&gt;=3,"Watch","OK")))</x:f>
      </x:c>
    </x:row>
    <x:row r="510">
      <x:c r="A510" s="17" t="str">
        <x:f>IF(Students!A510="","",Students!A510)</x:f>
      </x:c>
      <x:c r="B510" s="17" t="str">
        <x:f>IF(A510="","",Students!F510)</x:f>
      </x:c>
      <x:c r="C510" s="17" t="str">
        <x:f>IF(A510="","",Students!G510)</x:f>
      </x:c>
      <x:c r="D510" s="17" t="str">
        <x:f>IF(A510="","",Students!H510)</x:f>
      </x:c>
      <x:c r="E510" s="22" t="str">
        <x:f>IF(A510="","",COUNTIFS(Late_Transactions!E:E,A510,Late_Transactions!K:K,"Recorded"))</x:f>
      </x:c>
      <x:c r="F510" s="21" t="n">
        <x:f>IFERROR(MAXIFS(Late_Transactions!C:C,Late_Transactions!E:E,A510,Late_Transactions!K:K,"Recorded"),"")</x:f>
        <x:v>0</x:v>
      </x:c>
      <x:c r="G510" s="17" t="str">
        <x:f>IF(E510="","",IF(E510&gt;=5,"High",IF(E510&gt;=3,"Watch","OK")))</x:f>
      </x:c>
    </x:row>
    <x:row r="511">
      <x:c r="A511" s="17" t="str">
        <x:f>IF(Students!A511="","",Students!A511)</x:f>
      </x:c>
      <x:c r="B511" s="17" t="str">
        <x:f>IF(A511="","",Students!F511)</x:f>
      </x:c>
      <x:c r="C511" s="17" t="str">
        <x:f>IF(A511="","",Students!G511)</x:f>
      </x:c>
      <x:c r="D511" s="17" t="str">
        <x:f>IF(A511="","",Students!H511)</x:f>
      </x:c>
      <x:c r="E511" s="22" t="str">
        <x:f>IF(A511="","",COUNTIFS(Late_Transactions!E:E,A511,Late_Transactions!K:K,"Recorded"))</x:f>
      </x:c>
      <x:c r="F511" s="21" t="n">
        <x:f>IFERROR(MAXIFS(Late_Transactions!C:C,Late_Transactions!E:E,A511,Late_Transactions!K:K,"Recorded"),"")</x:f>
        <x:v>0</x:v>
      </x:c>
      <x:c r="G511" s="17" t="str">
        <x:f>IF(E511="","",IF(E511&gt;=5,"High",IF(E511&gt;=3,"Watch","OK")))</x:f>
      </x:c>
    </x:row>
    <x:row r="512">
      <x:c r="A512" s="17" t="str">
        <x:f>IF(Students!A512="","",Students!A512)</x:f>
      </x:c>
      <x:c r="B512" s="17" t="str">
        <x:f>IF(A512="","",Students!F512)</x:f>
      </x:c>
      <x:c r="C512" s="17" t="str">
        <x:f>IF(A512="","",Students!G512)</x:f>
      </x:c>
      <x:c r="D512" s="17" t="str">
        <x:f>IF(A512="","",Students!H512)</x:f>
      </x:c>
      <x:c r="E512" s="22" t="str">
        <x:f>IF(A512="","",COUNTIFS(Late_Transactions!E:E,A512,Late_Transactions!K:K,"Recorded"))</x:f>
      </x:c>
      <x:c r="F512" s="21" t="n">
        <x:f>IFERROR(MAXIFS(Late_Transactions!C:C,Late_Transactions!E:E,A512,Late_Transactions!K:K,"Recorded"),"")</x:f>
        <x:v>0</x:v>
      </x:c>
      <x:c r="G512" s="17" t="str">
        <x:f>IF(E512="","",IF(E512&gt;=5,"High",IF(E512&gt;=3,"Watch","OK")))</x:f>
      </x:c>
    </x:row>
    <x:row r="513">
      <x:c r="A513" s="17" t="str">
        <x:f>IF(Students!A513="","",Students!A513)</x:f>
      </x:c>
      <x:c r="B513" s="17" t="str">
        <x:f>IF(A513="","",Students!F513)</x:f>
      </x:c>
      <x:c r="C513" s="17" t="str">
        <x:f>IF(A513="","",Students!G513)</x:f>
      </x:c>
      <x:c r="D513" s="17" t="str">
        <x:f>IF(A513="","",Students!H513)</x:f>
      </x:c>
      <x:c r="E513" s="22" t="str">
        <x:f>IF(A513="","",COUNTIFS(Late_Transactions!E:E,A513,Late_Transactions!K:K,"Recorded"))</x:f>
      </x:c>
      <x:c r="F513" s="21" t="n">
        <x:f>IFERROR(MAXIFS(Late_Transactions!C:C,Late_Transactions!E:E,A513,Late_Transactions!K:K,"Recorded"),"")</x:f>
        <x:v>0</x:v>
      </x:c>
      <x:c r="G513" s="17" t="str">
        <x:f>IF(E513="","",IF(E513&gt;=5,"High",IF(E513&gt;=3,"Watch","OK")))</x:f>
      </x:c>
    </x:row>
    <x:row r="514">
      <x:c r="A514" s="17" t="str">
        <x:f>IF(Students!A514="","",Students!A514)</x:f>
      </x:c>
      <x:c r="B514" s="17" t="str">
        <x:f>IF(A514="","",Students!F514)</x:f>
      </x:c>
      <x:c r="C514" s="17" t="str">
        <x:f>IF(A514="","",Students!G514)</x:f>
      </x:c>
      <x:c r="D514" s="17" t="str">
        <x:f>IF(A514="","",Students!H514)</x:f>
      </x:c>
      <x:c r="E514" s="22" t="str">
        <x:f>IF(A514="","",COUNTIFS(Late_Transactions!E:E,A514,Late_Transactions!K:K,"Recorded"))</x:f>
      </x:c>
      <x:c r="F514" s="21" t="n">
        <x:f>IFERROR(MAXIFS(Late_Transactions!C:C,Late_Transactions!E:E,A514,Late_Transactions!K:K,"Recorded"),"")</x:f>
        <x:v>0</x:v>
      </x:c>
      <x:c r="G514" s="17" t="str">
        <x:f>IF(E514="","",IF(E514&gt;=5,"High",IF(E514&gt;=3,"Watch","OK")))</x:f>
      </x:c>
    </x:row>
    <x:row r="515">
      <x:c r="A515" s="17" t="str">
        <x:f>IF(Students!A515="","",Students!A515)</x:f>
      </x:c>
      <x:c r="B515" s="17" t="str">
        <x:f>IF(A515="","",Students!F515)</x:f>
      </x:c>
      <x:c r="C515" s="17" t="str">
        <x:f>IF(A515="","",Students!G515)</x:f>
      </x:c>
      <x:c r="D515" s="17" t="str">
        <x:f>IF(A515="","",Students!H515)</x:f>
      </x:c>
      <x:c r="E515" s="22" t="str">
        <x:f>IF(A515="","",COUNTIFS(Late_Transactions!E:E,A515,Late_Transactions!K:K,"Recorded"))</x:f>
      </x:c>
      <x:c r="F515" s="21" t="n">
        <x:f>IFERROR(MAXIFS(Late_Transactions!C:C,Late_Transactions!E:E,A515,Late_Transactions!K:K,"Recorded"),"")</x:f>
        <x:v>0</x:v>
      </x:c>
      <x:c r="G515" s="17" t="str">
        <x:f>IF(E515="","",IF(E515&gt;=5,"High",IF(E515&gt;=3,"Watch","OK")))</x:f>
      </x:c>
    </x:row>
    <x:row r="516">
      <x:c r="A516" s="17" t="str">
        <x:f>IF(Students!A516="","",Students!A516)</x:f>
      </x:c>
      <x:c r="B516" s="17" t="str">
        <x:f>IF(A516="","",Students!F516)</x:f>
      </x:c>
      <x:c r="C516" s="17" t="str">
        <x:f>IF(A516="","",Students!G516)</x:f>
      </x:c>
      <x:c r="D516" s="17" t="str">
        <x:f>IF(A516="","",Students!H516)</x:f>
      </x:c>
      <x:c r="E516" s="22" t="str">
        <x:f>IF(A516="","",COUNTIFS(Late_Transactions!E:E,A516,Late_Transactions!K:K,"Recorded"))</x:f>
      </x:c>
      <x:c r="F516" s="21" t="n">
        <x:f>IFERROR(MAXIFS(Late_Transactions!C:C,Late_Transactions!E:E,A516,Late_Transactions!K:K,"Recorded"),"")</x:f>
        <x:v>0</x:v>
      </x:c>
      <x:c r="G516" s="17" t="str">
        <x:f>IF(E516="","",IF(E516&gt;=5,"High",IF(E516&gt;=3,"Watch","OK")))</x:f>
      </x:c>
    </x:row>
    <x:row r="517">
      <x:c r="A517" s="17" t="str">
        <x:f>IF(Students!A517="","",Students!A517)</x:f>
      </x:c>
      <x:c r="B517" s="17" t="str">
        <x:f>IF(A517="","",Students!F517)</x:f>
      </x:c>
      <x:c r="C517" s="17" t="str">
        <x:f>IF(A517="","",Students!G517)</x:f>
      </x:c>
      <x:c r="D517" s="17" t="str">
        <x:f>IF(A517="","",Students!H517)</x:f>
      </x:c>
      <x:c r="E517" s="22" t="str">
        <x:f>IF(A517="","",COUNTIFS(Late_Transactions!E:E,A517,Late_Transactions!K:K,"Recorded"))</x:f>
      </x:c>
      <x:c r="F517" s="21" t="n">
        <x:f>IFERROR(MAXIFS(Late_Transactions!C:C,Late_Transactions!E:E,A517,Late_Transactions!K:K,"Recorded"),"")</x:f>
        <x:v>0</x:v>
      </x:c>
      <x:c r="G517" s="17" t="str">
        <x:f>IF(E517="","",IF(E517&gt;=5,"High",IF(E517&gt;=3,"Watch","OK")))</x:f>
      </x:c>
    </x:row>
    <x:row r="518">
      <x:c r="A518" s="17" t="str">
        <x:f>IF(Students!A518="","",Students!A518)</x:f>
      </x:c>
      <x:c r="B518" s="17" t="str">
        <x:f>IF(A518="","",Students!F518)</x:f>
      </x:c>
      <x:c r="C518" s="17" t="str">
        <x:f>IF(A518="","",Students!G518)</x:f>
      </x:c>
      <x:c r="D518" s="17" t="str">
        <x:f>IF(A518="","",Students!H518)</x:f>
      </x:c>
      <x:c r="E518" s="22" t="str">
        <x:f>IF(A518="","",COUNTIFS(Late_Transactions!E:E,A518,Late_Transactions!K:K,"Recorded"))</x:f>
      </x:c>
      <x:c r="F518" s="21" t="n">
        <x:f>IFERROR(MAXIFS(Late_Transactions!C:C,Late_Transactions!E:E,A518,Late_Transactions!K:K,"Recorded"),"")</x:f>
        <x:v>0</x:v>
      </x:c>
      <x:c r="G518" s="17" t="str">
        <x:f>IF(E518="","",IF(E518&gt;=5,"High",IF(E518&gt;=3,"Watch","OK")))</x:f>
      </x:c>
    </x:row>
    <x:row r="519">
      <x:c r="A519" s="17" t="str">
        <x:f>IF(Students!A519="","",Students!A519)</x:f>
      </x:c>
      <x:c r="B519" s="17" t="str">
        <x:f>IF(A519="","",Students!F519)</x:f>
      </x:c>
      <x:c r="C519" s="17" t="str">
        <x:f>IF(A519="","",Students!G519)</x:f>
      </x:c>
      <x:c r="D519" s="17" t="str">
        <x:f>IF(A519="","",Students!H519)</x:f>
      </x:c>
      <x:c r="E519" s="22" t="str">
        <x:f>IF(A519="","",COUNTIFS(Late_Transactions!E:E,A519,Late_Transactions!K:K,"Recorded"))</x:f>
      </x:c>
      <x:c r="F519" s="21" t="n">
        <x:f>IFERROR(MAXIFS(Late_Transactions!C:C,Late_Transactions!E:E,A519,Late_Transactions!K:K,"Recorded"),"")</x:f>
        <x:v>0</x:v>
      </x:c>
      <x:c r="G519" s="17" t="str">
        <x:f>IF(E519="","",IF(E519&gt;=5,"High",IF(E519&gt;=3,"Watch","OK")))</x:f>
      </x:c>
    </x:row>
    <x:row r="520">
      <x:c r="A520" s="17" t="str">
        <x:f>IF(Students!A520="","",Students!A520)</x:f>
      </x:c>
      <x:c r="B520" s="17" t="str">
        <x:f>IF(A520="","",Students!F520)</x:f>
      </x:c>
      <x:c r="C520" s="17" t="str">
        <x:f>IF(A520="","",Students!G520)</x:f>
      </x:c>
      <x:c r="D520" s="17" t="str">
        <x:f>IF(A520="","",Students!H520)</x:f>
      </x:c>
      <x:c r="E520" s="22" t="str">
        <x:f>IF(A520="","",COUNTIFS(Late_Transactions!E:E,A520,Late_Transactions!K:K,"Recorded"))</x:f>
      </x:c>
      <x:c r="F520" s="21" t="n">
        <x:f>IFERROR(MAXIFS(Late_Transactions!C:C,Late_Transactions!E:E,A520,Late_Transactions!K:K,"Recorded"),"")</x:f>
        <x:v>0</x:v>
      </x:c>
      <x:c r="G520" s="17" t="str">
        <x:f>IF(E520="","",IF(E520&gt;=5,"High",IF(E520&gt;=3,"Watch","OK")))</x:f>
      </x:c>
    </x:row>
    <x:row r="521">
      <x:c r="A521" s="17" t="str">
        <x:f>IF(Students!A521="","",Students!A521)</x:f>
      </x:c>
      <x:c r="B521" s="17" t="str">
        <x:f>IF(A521="","",Students!F521)</x:f>
      </x:c>
      <x:c r="C521" s="17" t="str">
        <x:f>IF(A521="","",Students!G521)</x:f>
      </x:c>
      <x:c r="D521" s="17" t="str">
        <x:f>IF(A521="","",Students!H521)</x:f>
      </x:c>
      <x:c r="E521" s="22" t="str">
        <x:f>IF(A521="","",COUNTIFS(Late_Transactions!E:E,A521,Late_Transactions!K:K,"Recorded"))</x:f>
      </x:c>
      <x:c r="F521" s="21" t="n">
        <x:f>IFERROR(MAXIFS(Late_Transactions!C:C,Late_Transactions!E:E,A521,Late_Transactions!K:K,"Recorded"),"")</x:f>
        <x:v>0</x:v>
      </x:c>
      <x:c r="G521" s="17" t="str">
        <x:f>IF(E521="","",IF(E521&gt;=5,"High",IF(E521&gt;=3,"Watch","OK")))</x:f>
      </x:c>
    </x:row>
    <x:row r="522">
      <x:c r="A522" s="17" t="str">
        <x:f>IF(Students!A522="","",Students!A522)</x:f>
      </x:c>
      <x:c r="B522" s="17" t="str">
        <x:f>IF(A522="","",Students!F522)</x:f>
      </x:c>
      <x:c r="C522" s="17" t="str">
        <x:f>IF(A522="","",Students!G522)</x:f>
      </x:c>
      <x:c r="D522" s="17" t="str">
        <x:f>IF(A522="","",Students!H522)</x:f>
      </x:c>
      <x:c r="E522" s="22" t="str">
        <x:f>IF(A522="","",COUNTIFS(Late_Transactions!E:E,A522,Late_Transactions!K:K,"Recorded"))</x:f>
      </x:c>
      <x:c r="F522" s="21" t="n">
        <x:f>IFERROR(MAXIFS(Late_Transactions!C:C,Late_Transactions!E:E,A522,Late_Transactions!K:K,"Recorded"),"")</x:f>
        <x:v>0</x:v>
      </x:c>
      <x:c r="G522" s="17" t="str">
        <x:f>IF(E522="","",IF(E522&gt;=5,"High",IF(E522&gt;=3,"Watch","OK")))</x:f>
      </x:c>
    </x:row>
    <x:row r="523">
      <x:c r="A523" s="17" t="str">
        <x:f>IF(Students!A523="","",Students!A523)</x:f>
      </x:c>
      <x:c r="B523" s="17" t="str">
        <x:f>IF(A523="","",Students!F523)</x:f>
      </x:c>
      <x:c r="C523" s="17" t="str">
        <x:f>IF(A523="","",Students!G523)</x:f>
      </x:c>
      <x:c r="D523" s="17" t="str">
        <x:f>IF(A523="","",Students!H523)</x:f>
      </x:c>
      <x:c r="E523" s="22" t="str">
        <x:f>IF(A523="","",COUNTIFS(Late_Transactions!E:E,A523,Late_Transactions!K:K,"Recorded"))</x:f>
      </x:c>
      <x:c r="F523" s="21" t="n">
        <x:f>IFERROR(MAXIFS(Late_Transactions!C:C,Late_Transactions!E:E,A523,Late_Transactions!K:K,"Recorded"),"")</x:f>
        <x:v>0</x:v>
      </x:c>
      <x:c r="G523" s="17" t="str">
        <x:f>IF(E523="","",IF(E523&gt;=5,"High",IF(E523&gt;=3,"Watch","OK")))</x:f>
      </x:c>
    </x:row>
    <x:row r="524">
      <x:c r="A524" s="17" t="str">
        <x:f>IF(Students!A524="","",Students!A524)</x:f>
      </x:c>
      <x:c r="B524" s="17" t="str">
        <x:f>IF(A524="","",Students!F524)</x:f>
      </x:c>
      <x:c r="C524" s="17" t="str">
        <x:f>IF(A524="","",Students!G524)</x:f>
      </x:c>
      <x:c r="D524" s="17" t="str">
        <x:f>IF(A524="","",Students!H524)</x:f>
      </x:c>
      <x:c r="E524" s="22" t="str">
        <x:f>IF(A524="","",COUNTIFS(Late_Transactions!E:E,A524,Late_Transactions!K:K,"Recorded"))</x:f>
      </x:c>
      <x:c r="F524" s="21" t="n">
        <x:f>IFERROR(MAXIFS(Late_Transactions!C:C,Late_Transactions!E:E,A524,Late_Transactions!K:K,"Recorded"),"")</x:f>
        <x:v>0</x:v>
      </x:c>
      <x:c r="G524" s="17" t="str">
        <x:f>IF(E524="","",IF(E524&gt;=5,"High",IF(E524&gt;=3,"Watch","OK")))</x:f>
      </x:c>
    </x:row>
    <x:row r="525">
      <x:c r="A525" s="17" t="str">
        <x:f>IF(Students!A525="","",Students!A525)</x:f>
      </x:c>
      <x:c r="B525" s="17" t="str">
        <x:f>IF(A525="","",Students!F525)</x:f>
      </x:c>
      <x:c r="C525" s="17" t="str">
        <x:f>IF(A525="","",Students!G525)</x:f>
      </x:c>
      <x:c r="D525" s="17" t="str">
        <x:f>IF(A525="","",Students!H525)</x:f>
      </x:c>
      <x:c r="E525" s="22" t="str">
        <x:f>IF(A525="","",COUNTIFS(Late_Transactions!E:E,A525,Late_Transactions!K:K,"Recorded"))</x:f>
      </x:c>
      <x:c r="F525" s="21" t="n">
        <x:f>IFERROR(MAXIFS(Late_Transactions!C:C,Late_Transactions!E:E,A525,Late_Transactions!K:K,"Recorded"),"")</x:f>
        <x:v>0</x:v>
      </x:c>
      <x:c r="G525" s="17" t="str">
        <x:f>IF(E525="","",IF(E525&gt;=5,"High",IF(E525&gt;=3,"Watch","OK")))</x:f>
      </x:c>
    </x:row>
    <x:row r="526">
      <x:c r="A526" s="17" t="str">
        <x:f>IF(Students!A526="","",Students!A526)</x:f>
      </x:c>
      <x:c r="B526" s="17" t="str">
        <x:f>IF(A526="","",Students!F526)</x:f>
      </x:c>
      <x:c r="C526" s="17" t="str">
        <x:f>IF(A526="","",Students!G526)</x:f>
      </x:c>
      <x:c r="D526" s="17" t="str">
        <x:f>IF(A526="","",Students!H526)</x:f>
      </x:c>
      <x:c r="E526" s="22" t="str">
        <x:f>IF(A526="","",COUNTIFS(Late_Transactions!E:E,A526,Late_Transactions!K:K,"Recorded"))</x:f>
      </x:c>
      <x:c r="F526" s="21" t="n">
        <x:f>IFERROR(MAXIFS(Late_Transactions!C:C,Late_Transactions!E:E,A526,Late_Transactions!K:K,"Recorded"),"")</x:f>
        <x:v>0</x:v>
      </x:c>
      <x:c r="G526" s="17" t="str">
        <x:f>IF(E526="","",IF(E526&gt;=5,"High",IF(E526&gt;=3,"Watch","OK")))</x:f>
      </x:c>
    </x:row>
    <x:row r="527">
      <x:c r="A527" s="17" t="str">
        <x:f>IF(Students!A527="","",Students!A527)</x:f>
      </x:c>
      <x:c r="B527" s="17" t="str">
        <x:f>IF(A527="","",Students!F527)</x:f>
      </x:c>
      <x:c r="C527" s="17" t="str">
        <x:f>IF(A527="","",Students!G527)</x:f>
      </x:c>
      <x:c r="D527" s="17" t="str">
        <x:f>IF(A527="","",Students!H527)</x:f>
      </x:c>
      <x:c r="E527" s="22" t="str">
        <x:f>IF(A527="","",COUNTIFS(Late_Transactions!E:E,A527,Late_Transactions!K:K,"Recorded"))</x:f>
      </x:c>
      <x:c r="F527" s="21" t="n">
        <x:f>IFERROR(MAXIFS(Late_Transactions!C:C,Late_Transactions!E:E,A527,Late_Transactions!K:K,"Recorded"),"")</x:f>
        <x:v>0</x:v>
      </x:c>
      <x:c r="G527" s="17" t="str">
        <x:f>IF(E527="","",IF(E527&gt;=5,"High",IF(E527&gt;=3,"Watch","OK")))</x:f>
      </x:c>
    </x:row>
    <x:row r="528">
      <x:c r="A528" s="17" t="str">
        <x:f>IF(Students!A528="","",Students!A528)</x:f>
      </x:c>
      <x:c r="B528" s="17" t="str">
        <x:f>IF(A528="","",Students!F528)</x:f>
      </x:c>
      <x:c r="C528" s="17" t="str">
        <x:f>IF(A528="","",Students!G528)</x:f>
      </x:c>
      <x:c r="D528" s="17" t="str">
        <x:f>IF(A528="","",Students!H528)</x:f>
      </x:c>
      <x:c r="E528" s="22" t="str">
        <x:f>IF(A528="","",COUNTIFS(Late_Transactions!E:E,A528,Late_Transactions!K:K,"Recorded"))</x:f>
      </x:c>
      <x:c r="F528" s="21" t="n">
        <x:f>IFERROR(MAXIFS(Late_Transactions!C:C,Late_Transactions!E:E,A528,Late_Transactions!K:K,"Recorded"),"")</x:f>
        <x:v>0</x:v>
      </x:c>
      <x:c r="G528" s="17" t="str">
        <x:f>IF(E528="","",IF(E528&gt;=5,"High",IF(E528&gt;=3,"Watch","OK")))</x:f>
      </x:c>
    </x:row>
    <x:row r="529">
      <x:c r="A529" s="17" t="str">
        <x:f>IF(Students!A529="","",Students!A529)</x:f>
      </x:c>
      <x:c r="B529" s="17" t="str">
        <x:f>IF(A529="","",Students!F529)</x:f>
      </x:c>
      <x:c r="C529" s="17" t="str">
        <x:f>IF(A529="","",Students!G529)</x:f>
      </x:c>
      <x:c r="D529" s="17" t="str">
        <x:f>IF(A529="","",Students!H529)</x:f>
      </x:c>
      <x:c r="E529" s="22" t="str">
        <x:f>IF(A529="","",COUNTIFS(Late_Transactions!E:E,A529,Late_Transactions!K:K,"Recorded"))</x:f>
      </x:c>
      <x:c r="F529" s="21" t="n">
        <x:f>IFERROR(MAXIFS(Late_Transactions!C:C,Late_Transactions!E:E,A529,Late_Transactions!K:K,"Recorded"),"")</x:f>
        <x:v>0</x:v>
      </x:c>
      <x:c r="G529" s="17" t="str">
        <x:f>IF(E529="","",IF(E529&gt;=5,"High",IF(E529&gt;=3,"Watch","OK")))</x:f>
      </x:c>
    </x:row>
    <x:row r="530">
      <x:c r="A530" s="17" t="str">
        <x:f>IF(Students!A530="","",Students!A530)</x:f>
      </x:c>
      <x:c r="B530" s="17" t="str">
        <x:f>IF(A530="","",Students!F530)</x:f>
      </x:c>
      <x:c r="C530" s="17" t="str">
        <x:f>IF(A530="","",Students!G530)</x:f>
      </x:c>
      <x:c r="D530" s="17" t="str">
        <x:f>IF(A530="","",Students!H530)</x:f>
      </x:c>
      <x:c r="E530" s="22" t="str">
        <x:f>IF(A530="","",COUNTIFS(Late_Transactions!E:E,A530,Late_Transactions!K:K,"Recorded"))</x:f>
      </x:c>
      <x:c r="F530" s="21" t="n">
        <x:f>IFERROR(MAXIFS(Late_Transactions!C:C,Late_Transactions!E:E,A530,Late_Transactions!K:K,"Recorded"),"")</x:f>
        <x:v>0</x:v>
      </x:c>
      <x:c r="G530" s="17" t="str">
        <x:f>IF(E530="","",IF(E530&gt;=5,"High",IF(E530&gt;=3,"Watch","OK")))</x:f>
      </x:c>
    </x:row>
    <x:row r="531">
      <x:c r="A531" s="17" t="str">
        <x:f>IF(Students!A531="","",Students!A531)</x:f>
      </x:c>
      <x:c r="B531" s="17" t="str">
        <x:f>IF(A531="","",Students!F531)</x:f>
      </x:c>
      <x:c r="C531" s="17" t="str">
        <x:f>IF(A531="","",Students!G531)</x:f>
      </x:c>
      <x:c r="D531" s="17" t="str">
        <x:f>IF(A531="","",Students!H531)</x:f>
      </x:c>
      <x:c r="E531" s="22" t="str">
        <x:f>IF(A531="","",COUNTIFS(Late_Transactions!E:E,A531,Late_Transactions!K:K,"Recorded"))</x:f>
      </x:c>
      <x:c r="F531" s="21" t="n">
        <x:f>IFERROR(MAXIFS(Late_Transactions!C:C,Late_Transactions!E:E,A531,Late_Transactions!K:K,"Recorded"),"")</x:f>
        <x:v>0</x:v>
      </x:c>
      <x:c r="G531" s="17" t="str">
        <x:f>IF(E531="","",IF(E531&gt;=5,"High",IF(E531&gt;=3,"Watch","OK")))</x:f>
      </x:c>
    </x:row>
    <x:row r="532">
      <x:c r="A532" s="17" t="str">
        <x:f>IF(Students!A532="","",Students!A532)</x:f>
      </x:c>
      <x:c r="B532" s="17" t="str">
        <x:f>IF(A532="","",Students!F532)</x:f>
      </x:c>
      <x:c r="C532" s="17" t="str">
        <x:f>IF(A532="","",Students!G532)</x:f>
      </x:c>
      <x:c r="D532" s="17" t="str">
        <x:f>IF(A532="","",Students!H532)</x:f>
      </x:c>
      <x:c r="E532" s="22" t="str">
        <x:f>IF(A532="","",COUNTIFS(Late_Transactions!E:E,A532,Late_Transactions!K:K,"Recorded"))</x:f>
      </x:c>
      <x:c r="F532" s="21" t="n">
        <x:f>IFERROR(MAXIFS(Late_Transactions!C:C,Late_Transactions!E:E,A532,Late_Transactions!K:K,"Recorded"),"")</x:f>
        <x:v>0</x:v>
      </x:c>
      <x:c r="G532" s="17" t="str">
        <x:f>IF(E532="","",IF(E532&gt;=5,"High",IF(E532&gt;=3,"Watch","OK")))</x:f>
      </x:c>
    </x:row>
    <x:row r="533">
      <x:c r="A533" s="17" t="str">
        <x:f>IF(Students!A533="","",Students!A533)</x:f>
      </x:c>
      <x:c r="B533" s="17" t="str">
        <x:f>IF(A533="","",Students!F533)</x:f>
      </x:c>
      <x:c r="C533" s="17" t="str">
        <x:f>IF(A533="","",Students!G533)</x:f>
      </x:c>
      <x:c r="D533" s="17" t="str">
        <x:f>IF(A533="","",Students!H533)</x:f>
      </x:c>
      <x:c r="E533" s="22" t="str">
        <x:f>IF(A533="","",COUNTIFS(Late_Transactions!E:E,A533,Late_Transactions!K:K,"Recorded"))</x:f>
      </x:c>
      <x:c r="F533" s="21" t="n">
        <x:f>IFERROR(MAXIFS(Late_Transactions!C:C,Late_Transactions!E:E,A533,Late_Transactions!K:K,"Recorded"),"")</x:f>
        <x:v>0</x:v>
      </x:c>
      <x:c r="G533" s="17" t="str">
        <x:f>IF(E533="","",IF(E533&gt;=5,"High",IF(E533&gt;=3,"Watch","OK")))</x:f>
      </x:c>
    </x:row>
    <x:row r="534">
      <x:c r="A534" s="17" t="str">
        <x:f>IF(Students!A534="","",Students!A534)</x:f>
      </x:c>
      <x:c r="B534" s="17" t="str">
        <x:f>IF(A534="","",Students!F534)</x:f>
      </x:c>
      <x:c r="C534" s="17" t="str">
        <x:f>IF(A534="","",Students!G534)</x:f>
      </x:c>
      <x:c r="D534" s="17" t="str">
        <x:f>IF(A534="","",Students!H534)</x:f>
      </x:c>
      <x:c r="E534" s="22" t="str">
        <x:f>IF(A534="","",COUNTIFS(Late_Transactions!E:E,A534,Late_Transactions!K:K,"Recorded"))</x:f>
      </x:c>
      <x:c r="F534" s="21" t="n">
        <x:f>IFERROR(MAXIFS(Late_Transactions!C:C,Late_Transactions!E:E,A534,Late_Transactions!K:K,"Recorded"),"")</x:f>
        <x:v>0</x:v>
      </x:c>
      <x:c r="G534" s="17" t="str">
        <x:f>IF(E534="","",IF(E534&gt;=5,"High",IF(E534&gt;=3,"Watch","OK")))</x:f>
      </x:c>
    </x:row>
    <x:row r="535">
      <x:c r="A535" s="17" t="str">
        <x:f>IF(Students!A535="","",Students!A535)</x:f>
      </x:c>
      <x:c r="B535" s="17" t="str">
        <x:f>IF(A535="","",Students!F535)</x:f>
      </x:c>
      <x:c r="C535" s="17" t="str">
        <x:f>IF(A535="","",Students!G535)</x:f>
      </x:c>
      <x:c r="D535" s="17" t="str">
        <x:f>IF(A535="","",Students!H535)</x:f>
      </x:c>
      <x:c r="E535" s="22" t="str">
        <x:f>IF(A535="","",COUNTIFS(Late_Transactions!E:E,A535,Late_Transactions!K:K,"Recorded"))</x:f>
      </x:c>
      <x:c r="F535" s="21" t="n">
        <x:f>IFERROR(MAXIFS(Late_Transactions!C:C,Late_Transactions!E:E,A535,Late_Transactions!K:K,"Recorded"),"")</x:f>
        <x:v>0</x:v>
      </x:c>
      <x:c r="G535" s="17" t="str">
        <x:f>IF(E535="","",IF(E535&gt;=5,"High",IF(E535&gt;=3,"Watch","OK")))</x:f>
      </x:c>
    </x:row>
    <x:row r="536">
      <x:c r="A536" s="17" t="str">
        <x:f>IF(Students!A536="","",Students!A536)</x:f>
      </x:c>
      <x:c r="B536" s="17" t="str">
        <x:f>IF(A536="","",Students!F536)</x:f>
      </x:c>
      <x:c r="C536" s="17" t="str">
        <x:f>IF(A536="","",Students!G536)</x:f>
      </x:c>
      <x:c r="D536" s="17" t="str">
        <x:f>IF(A536="","",Students!H536)</x:f>
      </x:c>
      <x:c r="E536" s="22" t="str">
        <x:f>IF(A536="","",COUNTIFS(Late_Transactions!E:E,A536,Late_Transactions!K:K,"Recorded"))</x:f>
      </x:c>
      <x:c r="F536" s="21" t="n">
        <x:f>IFERROR(MAXIFS(Late_Transactions!C:C,Late_Transactions!E:E,A536,Late_Transactions!K:K,"Recorded"),"")</x:f>
        <x:v>0</x:v>
      </x:c>
      <x:c r="G536" s="17" t="str">
        <x:f>IF(E536="","",IF(E536&gt;=5,"High",IF(E536&gt;=3,"Watch","OK")))</x:f>
      </x:c>
    </x:row>
    <x:row r="537">
      <x:c r="A537" s="17" t="str">
        <x:f>IF(Students!A537="","",Students!A537)</x:f>
      </x:c>
      <x:c r="B537" s="17" t="str">
        <x:f>IF(A537="","",Students!F537)</x:f>
      </x:c>
      <x:c r="C537" s="17" t="str">
        <x:f>IF(A537="","",Students!G537)</x:f>
      </x:c>
      <x:c r="D537" s="17" t="str">
        <x:f>IF(A537="","",Students!H537)</x:f>
      </x:c>
      <x:c r="E537" s="22" t="str">
        <x:f>IF(A537="","",COUNTIFS(Late_Transactions!E:E,A537,Late_Transactions!K:K,"Recorded"))</x:f>
      </x:c>
      <x:c r="F537" s="21" t="n">
        <x:f>IFERROR(MAXIFS(Late_Transactions!C:C,Late_Transactions!E:E,A537,Late_Transactions!K:K,"Recorded"),"")</x:f>
        <x:v>0</x:v>
      </x:c>
      <x:c r="G537" s="17" t="str">
        <x:f>IF(E537="","",IF(E537&gt;=5,"High",IF(E537&gt;=3,"Watch","OK")))</x:f>
      </x:c>
    </x:row>
    <x:row r="538">
      <x:c r="A538" s="17" t="str">
        <x:f>IF(Students!A538="","",Students!A538)</x:f>
      </x:c>
      <x:c r="B538" s="17" t="str">
        <x:f>IF(A538="","",Students!F538)</x:f>
      </x:c>
      <x:c r="C538" s="17" t="str">
        <x:f>IF(A538="","",Students!G538)</x:f>
      </x:c>
      <x:c r="D538" s="17" t="str">
        <x:f>IF(A538="","",Students!H538)</x:f>
      </x:c>
      <x:c r="E538" s="22" t="str">
        <x:f>IF(A538="","",COUNTIFS(Late_Transactions!E:E,A538,Late_Transactions!K:K,"Recorded"))</x:f>
      </x:c>
      <x:c r="F538" s="21" t="n">
        <x:f>IFERROR(MAXIFS(Late_Transactions!C:C,Late_Transactions!E:E,A538,Late_Transactions!K:K,"Recorded"),"")</x:f>
        <x:v>0</x:v>
      </x:c>
      <x:c r="G538" s="17" t="str">
        <x:f>IF(E538="","",IF(E538&gt;=5,"High",IF(E538&gt;=3,"Watch","OK")))</x:f>
      </x:c>
    </x:row>
    <x:row r="539">
      <x:c r="A539" s="17" t="str">
        <x:f>IF(Students!A539="","",Students!A539)</x:f>
      </x:c>
      <x:c r="B539" s="17" t="str">
        <x:f>IF(A539="","",Students!F539)</x:f>
      </x:c>
      <x:c r="C539" s="17" t="str">
        <x:f>IF(A539="","",Students!G539)</x:f>
      </x:c>
      <x:c r="D539" s="17" t="str">
        <x:f>IF(A539="","",Students!H539)</x:f>
      </x:c>
      <x:c r="E539" s="22" t="str">
        <x:f>IF(A539="","",COUNTIFS(Late_Transactions!E:E,A539,Late_Transactions!K:K,"Recorded"))</x:f>
      </x:c>
      <x:c r="F539" s="21" t="n">
        <x:f>IFERROR(MAXIFS(Late_Transactions!C:C,Late_Transactions!E:E,A539,Late_Transactions!K:K,"Recorded"),"")</x:f>
        <x:v>0</x:v>
      </x:c>
      <x:c r="G539" s="17" t="str">
        <x:f>IF(E539="","",IF(E539&gt;=5,"High",IF(E539&gt;=3,"Watch","OK")))</x:f>
      </x:c>
    </x:row>
    <x:row r="540">
      <x:c r="A540" s="17" t="str">
        <x:f>IF(Students!A540="","",Students!A540)</x:f>
      </x:c>
      <x:c r="B540" s="17" t="str">
        <x:f>IF(A540="","",Students!F540)</x:f>
      </x:c>
      <x:c r="C540" s="17" t="str">
        <x:f>IF(A540="","",Students!G540)</x:f>
      </x:c>
      <x:c r="D540" s="17" t="str">
        <x:f>IF(A540="","",Students!H540)</x:f>
      </x:c>
      <x:c r="E540" s="22" t="str">
        <x:f>IF(A540="","",COUNTIFS(Late_Transactions!E:E,A540,Late_Transactions!K:K,"Recorded"))</x:f>
      </x:c>
      <x:c r="F540" s="21" t="n">
        <x:f>IFERROR(MAXIFS(Late_Transactions!C:C,Late_Transactions!E:E,A540,Late_Transactions!K:K,"Recorded"),"")</x:f>
        <x:v>0</x:v>
      </x:c>
      <x:c r="G540" s="17" t="str">
        <x:f>IF(E540="","",IF(E540&gt;=5,"High",IF(E540&gt;=3,"Watch","OK")))</x:f>
      </x:c>
    </x:row>
    <x:row r="541">
      <x:c r="A541" s="17" t="str">
        <x:f>IF(Students!A541="","",Students!A541)</x:f>
      </x:c>
      <x:c r="B541" s="17" t="str">
        <x:f>IF(A541="","",Students!F541)</x:f>
      </x:c>
      <x:c r="C541" s="17" t="str">
        <x:f>IF(A541="","",Students!G541)</x:f>
      </x:c>
      <x:c r="D541" s="17" t="str">
        <x:f>IF(A541="","",Students!H541)</x:f>
      </x:c>
      <x:c r="E541" s="22" t="str">
        <x:f>IF(A541="","",COUNTIFS(Late_Transactions!E:E,A541,Late_Transactions!K:K,"Recorded"))</x:f>
      </x:c>
      <x:c r="F541" s="21" t="n">
        <x:f>IFERROR(MAXIFS(Late_Transactions!C:C,Late_Transactions!E:E,A541,Late_Transactions!K:K,"Recorded"),"")</x:f>
        <x:v>0</x:v>
      </x:c>
      <x:c r="G541" s="17" t="str">
        <x:f>IF(E541="","",IF(E541&gt;=5,"High",IF(E541&gt;=3,"Watch","OK")))</x:f>
      </x:c>
    </x:row>
    <x:row r="542">
      <x:c r="A542" s="17" t="str">
        <x:f>IF(Students!A542="","",Students!A542)</x:f>
      </x:c>
      <x:c r="B542" s="17" t="str">
        <x:f>IF(A542="","",Students!F542)</x:f>
      </x:c>
      <x:c r="C542" s="17" t="str">
        <x:f>IF(A542="","",Students!G542)</x:f>
      </x:c>
      <x:c r="D542" s="17" t="str">
        <x:f>IF(A542="","",Students!H542)</x:f>
      </x:c>
      <x:c r="E542" s="22" t="str">
        <x:f>IF(A542="","",COUNTIFS(Late_Transactions!E:E,A542,Late_Transactions!K:K,"Recorded"))</x:f>
      </x:c>
      <x:c r="F542" s="21" t="n">
        <x:f>IFERROR(MAXIFS(Late_Transactions!C:C,Late_Transactions!E:E,A542,Late_Transactions!K:K,"Recorded"),"")</x:f>
        <x:v>0</x:v>
      </x:c>
      <x:c r="G542" s="17" t="str">
        <x:f>IF(E542="","",IF(E542&gt;=5,"High",IF(E542&gt;=3,"Watch","OK")))</x:f>
      </x:c>
    </x:row>
    <x:row r="543">
      <x:c r="A543" s="17" t="str">
        <x:f>IF(Students!A543="","",Students!A543)</x:f>
      </x:c>
      <x:c r="B543" s="17" t="str">
        <x:f>IF(A543="","",Students!F543)</x:f>
      </x:c>
      <x:c r="C543" s="17" t="str">
        <x:f>IF(A543="","",Students!G543)</x:f>
      </x:c>
      <x:c r="D543" s="17" t="str">
        <x:f>IF(A543="","",Students!H543)</x:f>
      </x:c>
      <x:c r="E543" s="22" t="str">
        <x:f>IF(A543="","",COUNTIFS(Late_Transactions!E:E,A543,Late_Transactions!K:K,"Recorded"))</x:f>
      </x:c>
      <x:c r="F543" s="21" t="n">
        <x:f>IFERROR(MAXIFS(Late_Transactions!C:C,Late_Transactions!E:E,A543,Late_Transactions!K:K,"Recorded"),"")</x:f>
        <x:v>0</x:v>
      </x:c>
      <x:c r="G543" s="17" t="str">
        <x:f>IF(E543="","",IF(E543&gt;=5,"High",IF(E543&gt;=3,"Watch","OK")))</x:f>
      </x:c>
    </x:row>
    <x:row r="544">
      <x:c r="A544" s="17" t="str">
        <x:f>IF(Students!A544="","",Students!A544)</x:f>
      </x:c>
      <x:c r="B544" s="17" t="str">
        <x:f>IF(A544="","",Students!F544)</x:f>
      </x:c>
      <x:c r="C544" s="17" t="str">
        <x:f>IF(A544="","",Students!G544)</x:f>
      </x:c>
      <x:c r="D544" s="17" t="str">
        <x:f>IF(A544="","",Students!H544)</x:f>
      </x:c>
      <x:c r="E544" s="22" t="str">
        <x:f>IF(A544="","",COUNTIFS(Late_Transactions!E:E,A544,Late_Transactions!K:K,"Recorded"))</x:f>
      </x:c>
      <x:c r="F544" s="21" t="n">
        <x:f>IFERROR(MAXIFS(Late_Transactions!C:C,Late_Transactions!E:E,A544,Late_Transactions!K:K,"Recorded"),"")</x:f>
        <x:v>0</x:v>
      </x:c>
      <x:c r="G544" s="17" t="str">
        <x:f>IF(E544="","",IF(E544&gt;=5,"High",IF(E544&gt;=3,"Watch","OK")))</x:f>
      </x:c>
    </x:row>
    <x:row r="545">
      <x:c r="A545" s="17" t="str">
        <x:f>IF(Students!A545="","",Students!A545)</x:f>
      </x:c>
      <x:c r="B545" s="17" t="str">
        <x:f>IF(A545="","",Students!F545)</x:f>
      </x:c>
      <x:c r="C545" s="17" t="str">
        <x:f>IF(A545="","",Students!G545)</x:f>
      </x:c>
      <x:c r="D545" s="17" t="str">
        <x:f>IF(A545="","",Students!H545)</x:f>
      </x:c>
      <x:c r="E545" s="22" t="str">
        <x:f>IF(A545="","",COUNTIFS(Late_Transactions!E:E,A545,Late_Transactions!K:K,"Recorded"))</x:f>
      </x:c>
      <x:c r="F545" s="21" t="n">
        <x:f>IFERROR(MAXIFS(Late_Transactions!C:C,Late_Transactions!E:E,A545,Late_Transactions!K:K,"Recorded"),"")</x:f>
        <x:v>0</x:v>
      </x:c>
      <x:c r="G545" s="17" t="str">
        <x:f>IF(E545="","",IF(E545&gt;=5,"High",IF(E545&gt;=3,"Watch","OK")))</x:f>
      </x:c>
    </x:row>
    <x:row r="546">
      <x:c r="A546" s="17" t="str">
        <x:f>IF(Students!A546="","",Students!A546)</x:f>
      </x:c>
      <x:c r="B546" s="17" t="str">
        <x:f>IF(A546="","",Students!F546)</x:f>
      </x:c>
      <x:c r="C546" s="17" t="str">
        <x:f>IF(A546="","",Students!G546)</x:f>
      </x:c>
      <x:c r="D546" s="17" t="str">
        <x:f>IF(A546="","",Students!H546)</x:f>
      </x:c>
      <x:c r="E546" s="22" t="str">
        <x:f>IF(A546="","",COUNTIFS(Late_Transactions!E:E,A546,Late_Transactions!K:K,"Recorded"))</x:f>
      </x:c>
      <x:c r="F546" s="21" t="n">
        <x:f>IFERROR(MAXIFS(Late_Transactions!C:C,Late_Transactions!E:E,A546,Late_Transactions!K:K,"Recorded"),"")</x:f>
        <x:v>0</x:v>
      </x:c>
      <x:c r="G546" s="17" t="str">
        <x:f>IF(E546="","",IF(E546&gt;=5,"High",IF(E546&gt;=3,"Watch","OK")))</x:f>
      </x:c>
    </x:row>
    <x:row r="547">
      <x:c r="A547" s="17" t="str">
        <x:f>IF(Students!A547="","",Students!A547)</x:f>
      </x:c>
      <x:c r="B547" s="17" t="str">
        <x:f>IF(A547="","",Students!F547)</x:f>
      </x:c>
      <x:c r="C547" s="17" t="str">
        <x:f>IF(A547="","",Students!G547)</x:f>
      </x:c>
      <x:c r="D547" s="17" t="str">
        <x:f>IF(A547="","",Students!H547)</x:f>
      </x:c>
      <x:c r="E547" s="22" t="str">
        <x:f>IF(A547="","",COUNTIFS(Late_Transactions!E:E,A547,Late_Transactions!K:K,"Recorded"))</x:f>
      </x:c>
      <x:c r="F547" s="21" t="n">
        <x:f>IFERROR(MAXIFS(Late_Transactions!C:C,Late_Transactions!E:E,A547,Late_Transactions!K:K,"Recorded"),"")</x:f>
        <x:v>0</x:v>
      </x:c>
      <x:c r="G547" s="17" t="str">
        <x:f>IF(E547="","",IF(E547&gt;=5,"High",IF(E547&gt;=3,"Watch","OK")))</x:f>
      </x:c>
    </x:row>
    <x:row r="548">
      <x:c r="A548" s="17" t="str">
        <x:f>IF(Students!A548="","",Students!A548)</x:f>
      </x:c>
      <x:c r="B548" s="17" t="str">
        <x:f>IF(A548="","",Students!F548)</x:f>
      </x:c>
      <x:c r="C548" s="17" t="str">
        <x:f>IF(A548="","",Students!G548)</x:f>
      </x:c>
      <x:c r="D548" s="17" t="str">
        <x:f>IF(A548="","",Students!H548)</x:f>
      </x:c>
      <x:c r="E548" s="22" t="str">
        <x:f>IF(A548="","",COUNTIFS(Late_Transactions!E:E,A548,Late_Transactions!K:K,"Recorded"))</x:f>
      </x:c>
      <x:c r="F548" s="21" t="n">
        <x:f>IFERROR(MAXIFS(Late_Transactions!C:C,Late_Transactions!E:E,A548,Late_Transactions!K:K,"Recorded"),"")</x:f>
        <x:v>0</x:v>
      </x:c>
      <x:c r="G548" s="17" t="str">
        <x:f>IF(E548="","",IF(E548&gt;=5,"High",IF(E548&gt;=3,"Watch","OK")))</x:f>
      </x:c>
    </x:row>
    <x:row r="549">
      <x:c r="A549" s="17" t="str">
        <x:f>IF(Students!A549="","",Students!A549)</x:f>
      </x:c>
      <x:c r="B549" s="17" t="str">
        <x:f>IF(A549="","",Students!F549)</x:f>
      </x:c>
      <x:c r="C549" s="17" t="str">
        <x:f>IF(A549="","",Students!G549)</x:f>
      </x:c>
      <x:c r="D549" s="17" t="str">
        <x:f>IF(A549="","",Students!H549)</x:f>
      </x:c>
      <x:c r="E549" s="22" t="str">
        <x:f>IF(A549="","",COUNTIFS(Late_Transactions!E:E,A549,Late_Transactions!K:K,"Recorded"))</x:f>
      </x:c>
      <x:c r="F549" s="21" t="n">
        <x:f>IFERROR(MAXIFS(Late_Transactions!C:C,Late_Transactions!E:E,A549,Late_Transactions!K:K,"Recorded"),"")</x:f>
        <x:v>0</x:v>
      </x:c>
      <x:c r="G549" s="17" t="str">
        <x:f>IF(E549="","",IF(E549&gt;=5,"High",IF(E549&gt;=3,"Watch","OK")))</x:f>
      </x:c>
    </x:row>
    <x:row r="550">
      <x:c r="A550" s="17" t="str">
        <x:f>IF(Students!A550="","",Students!A550)</x:f>
      </x:c>
      <x:c r="B550" s="17" t="str">
        <x:f>IF(A550="","",Students!F550)</x:f>
      </x:c>
      <x:c r="C550" s="17" t="str">
        <x:f>IF(A550="","",Students!G550)</x:f>
      </x:c>
      <x:c r="D550" s="17" t="str">
        <x:f>IF(A550="","",Students!H550)</x:f>
      </x:c>
      <x:c r="E550" s="22" t="str">
        <x:f>IF(A550="","",COUNTIFS(Late_Transactions!E:E,A550,Late_Transactions!K:K,"Recorded"))</x:f>
      </x:c>
      <x:c r="F550" s="21" t="n">
        <x:f>IFERROR(MAXIFS(Late_Transactions!C:C,Late_Transactions!E:E,A550,Late_Transactions!K:K,"Recorded"),"")</x:f>
        <x:v>0</x:v>
      </x:c>
      <x:c r="G550" s="17" t="str">
        <x:f>IF(E550="","",IF(E550&gt;=5,"High",IF(E550&gt;=3,"Watch","OK")))</x:f>
      </x:c>
    </x:row>
    <x:row r="551">
      <x:c r="A551" s="17" t="str">
        <x:f>IF(Students!A551="","",Students!A551)</x:f>
      </x:c>
      <x:c r="B551" s="17" t="str">
        <x:f>IF(A551="","",Students!F551)</x:f>
      </x:c>
      <x:c r="C551" s="17" t="str">
        <x:f>IF(A551="","",Students!G551)</x:f>
      </x:c>
      <x:c r="D551" s="17" t="str">
        <x:f>IF(A551="","",Students!H551)</x:f>
      </x:c>
      <x:c r="E551" s="22" t="str">
        <x:f>IF(A551="","",COUNTIFS(Late_Transactions!E:E,A551,Late_Transactions!K:K,"Recorded"))</x:f>
      </x:c>
      <x:c r="F551" s="21" t="n">
        <x:f>IFERROR(MAXIFS(Late_Transactions!C:C,Late_Transactions!E:E,A551,Late_Transactions!K:K,"Recorded"),"")</x:f>
        <x:v>0</x:v>
      </x:c>
      <x:c r="G551" s="17" t="str">
        <x:f>IF(E551="","",IF(E551&gt;=5,"High",IF(E551&gt;=3,"Watch","OK")))</x:f>
      </x:c>
    </x:row>
    <x:row r="552">
      <x:c r="A552" s="17" t="str">
        <x:f>IF(Students!A552="","",Students!A552)</x:f>
      </x:c>
      <x:c r="B552" s="17" t="str">
        <x:f>IF(A552="","",Students!F552)</x:f>
      </x:c>
      <x:c r="C552" s="17" t="str">
        <x:f>IF(A552="","",Students!G552)</x:f>
      </x:c>
      <x:c r="D552" s="17" t="str">
        <x:f>IF(A552="","",Students!H552)</x:f>
      </x:c>
      <x:c r="E552" s="22" t="str">
        <x:f>IF(A552="","",COUNTIFS(Late_Transactions!E:E,A552,Late_Transactions!K:K,"Recorded"))</x:f>
      </x:c>
      <x:c r="F552" s="21" t="n">
        <x:f>IFERROR(MAXIFS(Late_Transactions!C:C,Late_Transactions!E:E,A552,Late_Transactions!K:K,"Recorded"),"")</x:f>
        <x:v>0</x:v>
      </x:c>
      <x:c r="G552" s="17" t="str">
        <x:f>IF(E552="","",IF(E552&gt;=5,"High",IF(E552&gt;=3,"Watch","OK")))</x:f>
      </x:c>
    </x:row>
    <x:row r="553">
      <x:c r="A553" s="17" t="str">
        <x:f>IF(Students!A553="","",Students!A553)</x:f>
      </x:c>
      <x:c r="B553" s="17" t="str">
        <x:f>IF(A553="","",Students!F553)</x:f>
      </x:c>
      <x:c r="C553" s="17" t="str">
        <x:f>IF(A553="","",Students!G553)</x:f>
      </x:c>
      <x:c r="D553" s="17" t="str">
        <x:f>IF(A553="","",Students!H553)</x:f>
      </x:c>
      <x:c r="E553" s="22" t="str">
        <x:f>IF(A553="","",COUNTIFS(Late_Transactions!E:E,A553,Late_Transactions!K:K,"Recorded"))</x:f>
      </x:c>
      <x:c r="F553" s="21" t="n">
        <x:f>IFERROR(MAXIFS(Late_Transactions!C:C,Late_Transactions!E:E,A553,Late_Transactions!K:K,"Recorded"),"")</x:f>
        <x:v>0</x:v>
      </x:c>
      <x:c r="G553" s="17" t="str">
        <x:f>IF(E553="","",IF(E553&gt;=5,"High",IF(E553&gt;=3,"Watch","OK")))</x:f>
      </x:c>
    </x:row>
    <x:row r="554">
      <x:c r="A554" s="17" t="str">
        <x:f>IF(Students!A554="","",Students!A554)</x:f>
      </x:c>
      <x:c r="B554" s="17" t="str">
        <x:f>IF(A554="","",Students!F554)</x:f>
      </x:c>
      <x:c r="C554" s="17" t="str">
        <x:f>IF(A554="","",Students!G554)</x:f>
      </x:c>
      <x:c r="D554" s="17" t="str">
        <x:f>IF(A554="","",Students!H554)</x:f>
      </x:c>
      <x:c r="E554" s="22" t="str">
        <x:f>IF(A554="","",COUNTIFS(Late_Transactions!E:E,A554,Late_Transactions!K:K,"Recorded"))</x:f>
      </x:c>
      <x:c r="F554" s="21" t="n">
        <x:f>IFERROR(MAXIFS(Late_Transactions!C:C,Late_Transactions!E:E,A554,Late_Transactions!K:K,"Recorded"),"")</x:f>
        <x:v>0</x:v>
      </x:c>
      <x:c r="G554" s="17" t="str">
        <x:f>IF(E554="","",IF(E554&gt;=5,"High",IF(E554&gt;=3,"Watch","OK")))</x:f>
      </x:c>
    </x:row>
    <x:row r="555">
      <x:c r="A555" s="17" t="str">
        <x:f>IF(Students!A555="","",Students!A555)</x:f>
      </x:c>
      <x:c r="B555" s="17" t="str">
        <x:f>IF(A555="","",Students!F555)</x:f>
      </x:c>
      <x:c r="C555" s="17" t="str">
        <x:f>IF(A555="","",Students!G555)</x:f>
      </x:c>
      <x:c r="D555" s="17" t="str">
        <x:f>IF(A555="","",Students!H555)</x:f>
      </x:c>
      <x:c r="E555" s="22" t="str">
        <x:f>IF(A555="","",COUNTIFS(Late_Transactions!E:E,A555,Late_Transactions!K:K,"Recorded"))</x:f>
      </x:c>
      <x:c r="F555" s="21" t="n">
        <x:f>IFERROR(MAXIFS(Late_Transactions!C:C,Late_Transactions!E:E,A555,Late_Transactions!K:K,"Recorded"),"")</x:f>
        <x:v>0</x:v>
      </x:c>
      <x:c r="G555" s="17" t="str">
        <x:f>IF(E555="","",IF(E555&gt;=5,"High",IF(E555&gt;=3,"Watch","OK")))</x:f>
      </x:c>
    </x:row>
    <x:row r="556">
      <x:c r="A556" s="17" t="str">
        <x:f>IF(Students!A556="","",Students!A556)</x:f>
      </x:c>
      <x:c r="B556" s="17" t="str">
        <x:f>IF(A556="","",Students!F556)</x:f>
      </x:c>
      <x:c r="C556" s="17" t="str">
        <x:f>IF(A556="","",Students!G556)</x:f>
      </x:c>
      <x:c r="D556" s="17" t="str">
        <x:f>IF(A556="","",Students!H556)</x:f>
      </x:c>
      <x:c r="E556" s="22" t="str">
        <x:f>IF(A556="","",COUNTIFS(Late_Transactions!E:E,A556,Late_Transactions!K:K,"Recorded"))</x:f>
      </x:c>
      <x:c r="F556" s="21" t="n">
        <x:f>IFERROR(MAXIFS(Late_Transactions!C:C,Late_Transactions!E:E,A556,Late_Transactions!K:K,"Recorded"),"")</x:f>
        <x:v>0</x:v>
      </x:c>
      <x:c r="G556" s="17" t="str">
        <x:f>IF(E556="","",IF(E556&gt;=5,"High",IF(E556&gt;=3,"Watch","OK")))</x:f>
      </x:c>
    </x:row>
    <x:row r="557">
      <x:c r="A557" s="17" t="str">
        <x:f>IF(Students!A557="","",Students!A557)</x:f>
      </x:c>
      <x:c r="B557" s="17" t="str">
        <x:f>IF(A557="","",Students!F557)</x:f>
      </x:c>
      <x:c r="C557" s="17" t="str">
        <x:f>IF(A557="","",Students!G557)</x:f>
      </x:c>
      <x:c r="D557" s="17" t="str">
        <x:f>IF(A557="","",Students!H557)</x:f>
      </x:c>
      <x:c r="E557" s="22" t="str">
        <x:f>IF(A557="","",COUNTIFS(Late_Transactions!E:E,A557,Late_Transactions!K:K,"Recorded"))</x:f>
      </x:c>
      <x:c r="F557" s="21" t="n">
        <x:f>IFERROR(MAXIFS(Late_Transactions!C:C,Late_Transactions!E:E,A557,Late_Transactions!K:K,"Recorded"),"")</x:f>
        <x:v>0</x:v>
      </x:c>
      <x:c r="G557" s="17" t="str">
        <x:f>IF(E557="","",IF(E557&gt;=5,"High",IF(E557&gt;=3,"Watch","OK")))</x:f>
      </x:c>
    </x:row>
    <x:row r="558">
      <x:c r="A558" s="17" t="str">
        <x:f>IF(Students!A558="","",Students!A558)</x:f>
      </x:c>
      <x:c r="B558" s="17" t="str">
        <x:f>IF(A558="","",Students!F558)</x:f>
      </x:c>
      <x:c r="C558" s="17" t="str">
        <x:f>IF(A558="","",Students!G558)</x:f>
      </x:c>
      <x:c r="D558" s="17" t="str">
        <x:f>IF(A558="","",Students!H558)</x:f>
      </x:c>
      <x:c r="E558" s="22" t="str">
        <x:f>IF(A558="","",COUNTIFS(Late_Transactions!E:E,A558,Late_Transactions!K:K,"Recorded"))</x:f>
      </x:c>
      <x:c r="F558" s="21" t="n">
        <x:f>IFERROR(MAXIFS(Late_Transactions!C:C,Late_Transactions!E:E,A558,Late_Transactions!K:K,"Recorded"),"")</x:f>
        <x:v>0</x:v>
      </x:c>
      <x:c r="G558" s="17" t="str">
        <x:f>IF(E558="","",IF(E558&gt;=5,"High",IF(E558&gt;=3,"Watch","OK")))</x:f>
      </x:c>
    </x:row>
    <x:row r="559">
      <x:c r="A559" s="17" t="str">
        <x:f>IF(Students!A559="","",Students!A559)</x:f>
      </x:c>
      <x:c r="B559" s="17" t="str">
        <x:f>IF(A559="","",Students!F559)</x:f>
      </x:c>
      <x:c r="C559" s="17" t="str">
        <x:f>IF(A559="","",Students!G559)</x:f>
      </x:c>
      <x:c r="D559" s="17" t="str">
        <x:f>IF(A559="","",Students!H559)</x:f>
      </x:c>
      <x:c r="E559" s="22" t="str">
        <x:f>IF(A559="","",COUNTIFS(Late_Transactions!E:E,A559,Late_Transactions!K:K,"Recorded"))</x:f>
      </x:c>
      <x:c r="F559" s="21" t="n">
        <x:f>IFERROR(MAXIFS(Late_Transactions!C:C,Late_Transactions!E:E,A559,Late_Transactions!K:K,"Recorded"),"")</x:f>
        <x:v>0</x:v>
      </x:c>
      <x:c r="G559" s="17" t="str">
        <x:f>IF(E559="","",IF(E559&gt;=5,"High",IF(E559&gt;=3,"Watch","OK")))</x:f>
      </x:c>
    </x:row>
    <x:row r="560">
      <x:c r="A560" s="17" t="str">
        <x:f>IF(Students!A560="","",Students!A560)</x:f>
      </x:c>
      <x:c r="B560" s="17" t="str">
        <x:f>IF(A560="","",Students!F560)</x:f>
      </x:c>
      <x:c r="C560" s="17" t="str">
        <x:f>IF(A560="","",Students!G560)</x:f>
      </x:c>
      <x:c r="D560" s="17" t="str">
        <x:f>IF(A560="","",Students!H560)</x:f>
      </x:c>
      <x:c r="E560" s="22" t="str">
        <x:f>IF(A560="","",COUNTIFS(Late_Transactions!E:E,A560,Late_Transactions!K:K,"Recorded"))</x:f>
      </x:c>
      <x:c r="F560" s="21" t="n">
        <x:f>IFERROR(MAXIFS(Late_Transactions!C:C,Late_Transactions!E:E,A560,Late_Transactions!K:K,"Recorded"),"")</x:f>
        <x:v>0</x:v>
      </x:c>
      <x:c r="G560" s="17" t="str">
        <x:f>IF(E560="","",IF(E560&gt;=5,"High",IF(E560&gt;=3,"Watch","OK")))</x:f>
      </x:c>
    </x:row>
    <x:row r="561">
      <x:c r="A561" s="17" t="str">
        <x:f>IF(Students!A561="","",Students!A561)</x:f>
      </x:c>
      <x:c r="B561" s="17" t="str">
        <x:f>IF(A561="","",Students!F561)</x:f>
      </x:c>
      <x:c r="C561" s="17" t="str">
        <x:f>IF(A561="","",Students!G561)</x:f>
      </x:c>
      <x:c r="D561" s="17" t="str">
        <x:f>IF(A561="","",Students!H561)</x:f>
      </x:c>
      <x:c r="E561" s="22" t="str">
        <x:f>IF(A561="","",COUNTIFS(Late_Transactions!E:E,A561,Late_Transactions!K:K,"Recorded"))</x:f>
      </x:c>
      <x:c r="F561" s="21" t="n">
        <x:f>IFERROR(MAXIFS(Late_Transactions!C:C,Late_Transactions!E:E,A561,Late_Transactions!K:K,"Recorded"),"")</x:f>
        <x:v>0</x:v>
      </x:c>
      <x:c r="G561" s="17" t="str">
        <x:f>IF(E561="","",IF(E561&gt;=5,"High",IF(E561&gt;=3,"Watch","OK")))</x:f>
      </x:c>
    </x:row>
    <x:row r="562">
      <x:c r="A562" s="17" t="str">
        <x:f>IF(Students!A562="","",Students!A562)</x:f>
      </x:c>
      <x:c r="B562" s="17" t="str">
        <x:f>IF(A562="","",Students!F562)</x:f>
      </x:c>
      <x:c r="C562" s="17" t="str">
        <x:f>IF(A562="","",Students!G562)</x:f>
      </x:c>
      <x:c r="D562" s="17" t="str">
        <x:f>IF(A562="","",Students!H562)</x:f>
      </x:c>
      <x:c r="E562" s="22" t="str">
        <x:f>IF(A562="","",COUNTIFS(Late_Transactions!E:E,A562,Late_Transactions!K:K,"Recorded"))</x:f>
      </x:c>
      <x:c r="F562" s="21" t="n">
        <x:f>IFERROR(MAXIFS(Late_Transactions!C:C,Late_Transactions!E:E,A562,Late_Transactions!K:K,"Recorded"),"")</x:f>
        <x:v>0</x:v>
      </x:c>
      <x:c r="G562" s="17" t="str">
        <x:f>IF(E562="","",IF(E562&gt;=5,"High",IF(E562&gt;=3,"Watch","OK")))</x:f>
      </x:c>
    </x:row>
    <x:row r="563">
      <x:c r="A563" s="17" t="str">
        <x:f>IF(Students!A563="","",Students!A563)</x:f>
      </x:c>
      <x:c r="B563" s="17" t="str">
        <x:f>IF(A563="","",Students!F563)</x:f>
      </x:c>
      <x:c r="C563" s="17" t="str">
        <x:f>IF(A563="","",Students!G563)</x:f>
      </x:c>
      <x:c r="D563" s="17" t="str">
        <x:f>IF(A563="","",Students!H563)</x:f>
      </x:c>
      <x:c r="E563" s="22" t="str">
        <x:f>IF(A563="","",COUNTIFS(Late_Transactions!E:E,A563,Late_Transactions!K:K,"Recorded"))</x:f>
      </x:c>
      <x:c r="F563" s="21" t="n">
        <x:f>IFERROR(MAXIFS(Late_Transactions!C:C,Late_Transactions!E:E,A563,Late_Transactions!K:K,"Recorded"),"")</x:f>
        <x:v>0</x:v>
      </x:c>
      <x:c r="G563" s="17" t="str">
        <x:f>IF(E563="","",IF(E563&gt;=5,"High",IF(E563&gt;=3,"Watch","OK")))</x:f>
      </x:c>
    </x:row>
    <x:row r="564">
      <x:c r="A564" s="17" t="str">
        <x:f>IF(Students!A564="","",Students!A564)</x:f>
      </x:c>
      <x:c r="B564" s="17" t="str">
        <x:f>IF(A564="","",Students!F564)</x:f>
      </x:c>
      <x:c r="C564" s="17" t="str">
        <x:f>IF(A564="","",Students!G564)</x:f>
      </x:c>
      <x:c r="D564" s="17" t="str">
        <x:f>IF(A564="","",Students!H564)</x:f>
      </x:c>
      <x:c r="E564" s="22" t="str">
        <x:f>IF(A564="","",COUNTIFS(Late_Transactions!E:E,A564,Late_Transactions!K:K,"Recorded"))</x:f>
      </x:c>
      <x:c r="F564" s="21" t="n">
        <x:f>IFERROR(MAXIFS(Late_Transactions!C:C,Late_Transactions!E:E,A564,Late_Transactions!K:K,"Recorded"),"")</x:f>
        <x:v>0</x:v>
      </x:c>
      <x:c r="G564" s="17" t="str">
        <x:f>IF(E564="","",IF(E564&gt;=5,"High",IF(E564&gt;=3,"Watch","OK")))</x:f>
      </x:c>
    </x:row>
    <x:row r="565">
      <x:c r="A565" s="17" t="str">
        <x:f>IF(Students!A565="","",Students!A565)</x:f>
      </x:c>
      <x:c r="B565" s="17" t="str">
        <x:f>IF(A565="","",Students!F565)</x:f>
      </x:c>
      <x:c r="C565" s="17" t="str">
        <x:f>IF(A565="","",Students!G565)</x:f>
      </x:c>
      <x:c r="D565" s="17" t="str">
        <x:f>IF(A565="","",Students!H565)</x:f>
      </x:c>
      <x:c r="E565" s="22" t="str">
        <x:f>IF(A565="","",COUNTIFS(Late_Transactions!E:E,A565,Late_Transactions!K:K,"Recorded"))</x:f>
      </x:c>
      <x:c r="F565" s="21" t="n">
        <x:f>IFERROR(MAXIFS(Late_Transactions!C:C,Late_Transactions!E:E,A565,Late_Transactions!K:K,"Recorded"),"")</x:f>
        <x:v>0</x:v>
      </x:c>
      <x:c r="G565" s="17" t="str">
        <x:f>IF(E565="","",IF(E565&gt;=5,"High",IF(E565&gt;=3,"Watch","OK")))</x:f>
      </x:c>
    </x:row>
    <x:row r="566">
      <x:c r="A566" s="17" t="str">
        <x:f>IF(Students!A566="","",Students!A566)</x:f>
      </x:c>
      <x:c r="B566" s="17" t="str">
        <x:f>IF(A566="","",Students!F566)</x:f>
      </x:c>
      <x:c r="C566" s="17" t="str">
        <x:f>IF(A566="","",Students!G566)</x:f>
      </x:c>
      <x:c r="D566" s="17" t="str">
        <x:f>IF(A566="","",Students!H566)</x:f>
      </x:c>
      <x:c r="E566" s="22" t="str">
        <x:f>IF(A566="","",COUNTIFS(Late_Transactions!E:E,A566,Late_Transactions!K:K,"Recorded"))</x:f>
      </x:c>
      <x:c r="F566" s="21" t="n">
        <x:f>IFERROR(MAXIFS(Late_Transactions!C:C,Late_Transactions!E:E,A566,Late_Transactions!K:K,"Recorded"),"")</x:f>
        <x:v>0</x:v>
      </x:c>
      <x:c r="G566" s="17" t="str">
        <x:f>IF(E566="","",IF(E566&gt;=5,"High",IF(E566&gt;=3,"Watch","OK")))</x:f>
      </x:c>
    </x:row>
    <x:row r="567">
      <x:c r="A567" s="17" t="str">
        <x:f>IF(Students!A567="","",Students!A567)</x:f>
      </x:c>
      <x:c r="B567" s="17" t="str">
        <x:f>IF(A567="","",Students!F567)</x:f>
      </x:c>
      <x:c r="C567" s="17" t="str">
        <x:f>IF(A567="","",Students!G567)</x:f>
      </x:c>
      <x:c r="D567" s="17" t="str">
        <x:f>IF(A567="","",Students!H567)</x:f>
      </x:c>
      <x:c r="E567" s="22" t="str">
        <x:f>IF(A567="","",COUNTIFS(Late_Transactions!E:E,A567,Late_Transactions!K:K,"Recorded"))</x:f>
      </x:c>
      <x:c r="F567" s="21" t="n">
        <x:f>IFERROR(MAXIFS(Late_Transactions!C:C,Late_Transactions!E:E,A567,Late_Transactions!K:K,"Recorded"),"")</x:f>
        <x:v>0</x:v>
      </x:c>
      <x:c r="G567" s="17" t="str">
        <x:f>IF(E567="","",IF(E567&gt;=5,"High",IF(E567&gt;=3,"Watch","OK")))</x:f>
      </x:c>
    </x:row>
    <x:row r="568">
      <x:c r="A568" s="17" t="str">
        <x:f>IF(Students!A568="","",Students!A568)</x:f>
      </x:c>
      <x:c r="B568" s="17" t="str">
        <x:f>IF(A568="","",Students!F568)</x:f>
      </x:c>
      <x:c r="C568" s="17" t="str">
        <x:f>IF(A568="","",Students!G568)</x:f>
      </x:c>
      <x:c r="D568" s="17" t="str">
        <x:f>IF(A568="","",Students!H568)</x:f>
      </x:c>
      <x:c r="E568" s="22" t="str">
        <x:f>IF(A568="","",COUNTIFS(Late_Transactions!E:E,A568,Late_Transactions!K:K,"Recorded"))</x:f>
      </x:c>
      <x:c r="F568" s="21" t="n">
        <x:f>IFERROR(MAXIFS(Late_Transactions!C:C,Late_Transactions!E:E,A568,Late_Transactions!K:K,"Recorded"),"")</x:f>
        <x:v>0</x:v>
      </x:c>
      <x:c r="G568" s="17" t="str">
        <x:f>IF(E568="","",IF(E568&gt;=5,"High",IF(E568&gt;=3,"Watch","OK")))</x:f>
      </x:c>
    </x:row>
    <x:row r="569">
      <x:c r="A569" s="17" t="str">
        <x:f>IF(Students!A569="","",Students!A569)</x:f>
      </x:c>
      <x:c r="B569" s="17" t="str">
        <x:f>IF(A569="","",Students!F569)</x:f>
      </x:c>
      <x:c r="C569" s="17" t="str">
        <x:f>IF(A569="","",Students!G569)</x:f>
      </x:c>
      <x:c r="D569" s="17" t="str">
        <x:f>IF(A569="","",Students!H569)</x:f>
      </x:c>
      <x:c r="E569" s="22" t="str">
        <x:f>IF(A569="","",COUNTIFS(Late_Transactions!E:E,A569,Late_Transactions!K:K,"Recorded"))</x:f>
      </x:c>
      <x:c r="F569" s="21" t="n">
        <x:f>IFERROR(MAXIFS(Late_Transactions!C:C,Late_Transactions!E:E,A569,Late_Transactions!K:K,"Recorded"),"")</x:f>
        <x:v>0</x:v>
      </x:c>
      <x:c r="G569" s="17" t="str">
        <x:f>IF(E569="","",IF(E569&gt;=5,"High",IF(E569&gt;=3,"Watch","OK")))</x:f>
      </x:c>
    </x:row>
    <x:row r="570">
      <x:c r="A570" s="17" t="str">
        <x:f>IF(Students!A570="","",Students!A570)</x:f>
      </x:c>
      <x:c r="B570" s="17" t="str">
        <x:f>IF(A570="","",Students!F570)</x:f>
      </x:c>
      <x:c r="C570" s="17" t="str">
        <x:f>IF(A570="","",Students!G570)</x:f>
      </x:c>
      <x:c r="D570" s="17" t="str">
        <x:f>IF(A570="","",Students!H570)</x:f>
      </x:c>
      <x:c r="E570" s="22" t="str">
        <x:f>IF(A570="","",COUNTIFS(Late_Transactions!E:E,A570,Late_Transactions!K:K,"Recorded"))</x:f>
      </x:c>
      <x:c r="F570" s="21" t="n">
        <x:f>IFERROR(MAXIFS(Late_Transactions!C:C,Late_Transactions!E:E,A570,Late_Transactions!K:K,"Recorded"),"")</x:f>
        <x:v>0</x:v>
      </x:c>
      <x:c r="G570" s="17" t="str">
        <x:f>IF(E570="","",IF(E570&gt;=5,"High",IF(E570&gt;=3,"Watch","OK")))</x:f>
      </x:c>
    </x:row>
    <x:row r="571">
      <x:c r="A571" s="17" t="str">
        <x:f>IF(Students!A571="","",Students!A571)</x:f>
      </x:c>
      <x:c r="B571" s="17" t="str">
        <x:f>IF(A571="","",Students!F571)</x:f>
      </x:c>
      <x:c r="C571" s="17" t="str">
        <x:f>IF(A571="","",Students!G571)</x:f>
      </x:c>
      <x:c r="D571" s="17" t="str">
        <x:f>IF(A571="","",Students!H571)</x:f>
      </x:c>
      <x:c r="E571" s="22" t="str">
        <x:f>IF(A571="","",COUNTIFS(Late_Transactions!E:E,A571,Late_Transactions!K:K,"Recorded"))</x:f>
      </x:c>
      <x:c r="F571" s="21" t="n">
        <x:f>IFERROR(MAXIFS(Late_Transactions!C:C,Late_Transactions!E:E,A571,Late_Transactions!K:K,"Recorded"),"")</x:f>
        <x:v>0</x:v>
      </x:c>
      <x:c r="G571" s="17" t="str">
        <x:f>IF(E571="","",IF(E571&gt;=5,"High",IF(E571&gt;=3,"Watch","OK")))</x:f>
      </x:c>
    </x:row>
    <x:row r="572">
      <x:c r="A572" s="17" t="str">
        <x:f>IF(Students!A572="","",Students!A572)</x:f>
      </x:c>
      <x:c r="B572" s="17" t="str">
        <x:f>IF(A572="","",Students!F572)</x:f>
      </x:c>
      <x:c r="C572" s="17" t="str">
        <x:f>IF(A572="","",Students!G572)</x:f>
      </x:c>
      <x:c r="D572" s="17" t="str">
        <x:f>IF(A572="","",Students!H572)</x:f>
      </x:c>
      <x:c r="E572" s="22" t="str">
        <x:f>IF(A572="","",COUNTIFS(Late_Transactions!E:E,A572,Late_Transactions!K:K,"Recorded"))</x:f>
      </x:c>
      <x:c r="F572" s="21" t="n">
        <x:f>IFERROR(MAXIFS(Late_Transactions!C:C,Late_Transactions!E:E,A572,Late_Transactions!K:K,"Recorded"),"")</x:f>
        <x:v>0</x:v>
      </x:c>
      <x:c r="G572" s="17" t="str">
        <x:f>IF(E572="","",IF(E572&gt;=5,"High",IF(E572&gt;=3,"Watch","OK")))</x:f>
      </x:c>
    </x:row>
    <x:row r="573">
      <x:c r="A573" s="17" t="str">
        <x:f>IF(Students!A573="","",Students!A573)</x:f>
      </x:c>
      <x:c r="B573" s="17" t="str">
        <x:f>IF(A573="","",Students!F573)</x:f>
      </x:c>
      <x:c r="C573" s="17" t="str">
        <x:f>IF(A573="","",Students!G573)</x:f>
      </x:c>
      <x:c r="D573" s="17" t="str">
        <x:f>IF(A573="","",Students!H573)</x:f>
      </x:c>
      <x:c r="E573" s="22" t="str">
        <x:f>IF(A573="","",COUNTIFS(Late_Transactions!E:E,A573,Late_Transactions!K:K,"Recorded"))</x:f>
      </x:c>
      <x:c r="F573" s="21" t="n">
        <x:f>IFERROR(MAXIFS(Late_Transactions!C:C,Late_Transactions!E:E,A573,Late_Transactions!K:K,"Recorded"),"")</x:f>
        <x:v>0</x:v>
      </x:c>
      <x:c r="G573" s="17" t="str">
        <x:f>IF(E573="","",IF(E573&gt;=5,"High",IF(E573&gt;=3,"Watch","OK")))</x:f>
      </x:c>
    </x:row>
    <x:row r="574">
      <x:c r="A574" s="17" t="str">
        <x:f>IF(Students!A574="","",Students!A574)</x:f>
      </x:c>
      <x:c r="B574" s="17" t="str">
        <x:f>IF(A574="","",Students!F574)</x:f>
      </x:c>
      <x:c r="C574" s="17" t="str">
        <x:f>IF(A574="","",Students!G574)</x:f>
      </x:c>
      <x:c r="D574" s="17" t="str">
        <x:f>IF(A574="","",Students!H574)</x:f>
      </x:c>
      <x:c r="E574" s="22" t="str">
        <x:f>IF(A574="","",COUNTIFS(Late_Transactions!E:E,A574,Late_Transactions!K:K,"Recorded"))</x:f>
      </x:c>
      <x:c r="F574" s="21" t="n">
        <x:f>IFERROR(MAXIFS(Late_Transactions!C:C,Late_Transactions!E:E,A574,Late_Transactions!K:K,"Recorded"),"")</x:f>
        <x:v>0</x:v>
      </x:c>
      <x:c r="G574" s="17" t="str">
        <x:f>IF(E574="","",IF(E574&gt;=5,"High",IF(E574&gt;=3,"Watch","OK")))</x:f>
      </x:c>
    </x:row>
    <x:row r="575">
      <x:c r="A575" s="17" t="str">
        <x:f>IF(Students!A575="","",Students!A575)</x:f>
      </x:c>
      <x:c r="B575" s="17" t="str">
        <x:f>IF(A575="","",Students!F575)</x:f>
      </x:c>
      <x:c r="C575" s="17" t="str">
        <x:f>IF(A575="","",Students!G575)</x:f>
      </x:c>
      <x:c r="D575" s="17" t="str">
        <x:f>IF(A575="","",Students!H575)</x:f>
      </x:c>
      <x:c r="E575" s="22" t="str">
        <x:f>IF(A575="","",COUNTIFS(Late_Transactions!E:E,A575,Late_Transactions!K:K,"Recorded"))</x:f>
      </x:c>
      <x:c r="F575" s="21" t="n">
        <x:f>IFERROR(MAXIFS(Late_Transactions!C:C,Late_Transactions!E:E,A575,Late_Transactions!K:K,"Recorded"),"")</x:f>
        <x:v>0</x:v>
      </x:c>
      <x:c r="G575" s="17" t="str">
        <x:f>IF(E575="","",IF(E575&gt;=5,"High",IF(E575&gt;=3,"Watch","OK")))</x:f>
      </x:c>
    </x:row>
    <x:row r="576">
      <x:c r="A576" s="17" t="str">
        <x:f>IF(Students!A576="","",Students!A576)</x:f>
      </x:c>
      <x:c r="B576" s="17" t="str">
        <x:f>IF(A576="","",Students!F576)</x:f>
      </x:c>
      <x:c r="C576" s="17" t="str">
        <x:f>IF(A576="","",Students!G576)</x:f>
      </x:c>
      <x:c r="D576" s="17" t="str">
        <x:f>IF(A576="","",Students!H576)</x:f>
      </x:c>
      <x:c r="E576" s="22" t="str">
        <x:f>IF(A576="","",COUNTIFS(Late_Transactions!E:E,A576,Late_Transactions!K:K,"Recorded"))</x:f>
      </x:c>
      <x:c r="F576" s="21" t="n">
        <x:f>IFERROR(MAXIFS(Late_Transactions!C:C,Late_Transactions!E:E,A576,Late_Transactions!K:K,"Recorded"),"")</x:f>
        <x:v>0</x:v>
      </x:c>
      <x:c r="G576" s="17" t="str">
        <x:f>IF(E576="","",IF(E576&gt;=5,"High",IF(E576&gt;=3,"Watch","OK")))</x:f>
      </x:c>
    </x:row>
    <x:row r="577">
      <x:c r="A577" s="17" t="str">
        <x:f>IF(Students!A577="","",Students!A577)</x:f>
      </x:c>
      <x:c r="B577" s="17" t="str">
        <x:f>IF(A577="","",Students!F577)</x:f>
      </x:c>
      <x:c r="C577" s="17" t="str">
        <x:f>IF(A577="","",Students!G577)</x:f>
      </x:c>
      <x:c r="D577" s="17" t="str">
        <x:f>IF(A577="","",Students!H577)</x:f>
      </x:c>
      <x:c r="E577" s="22" t="str">
        <x:f>IF(A577="","",COUNTIFS(Late_Transactions!E:E,A577,Late_Transactions!K:K,"Recorded"))</x:f>
      </x:c>
      <x:c r="F577" s="21" t="n">
        <x:f>IFERROR(MAXIFS(Late_Transactions!C:C,Late_Transactions!E:E,A577,Late_Transactions!K:K,"Recorded"),"")</x:f>
        <x:v>0</x:v>
      </x:c>
      <x:c r="G577" s="17" t="str">
        <x:f>IF(E577="","",IF(E577&gt;=5,"High",IF(E577&gt;=3,"Watch","OK")))</x:f>
      </x:c>
    </x:row>
    <x:row r="578">
      <x:c r="A578" s="17" t="str">
        <x:f>IF(Students!A578="","",Students!A578)</x:f>
      </x:c>
      <x:c r="B578" s="17" t="str">
        <x:f>IF(A578="","",Students!F578)</x:f>
      </x:c>
      <x:c r="C578" s="17" t="str">
        <x:f>IF(A578="","",Students!G578)</x:f>
      </x:c>
      <x:c r="D578" s="17" t="str">
        <x:f>IF(A578="","",Students!H578)</x:f>
      </x:c>
      <x:c r="E578" s="22" t="str">
        <x:f>IF(A578="","",COUNTIFS(Late_Transactions!E:E,A578,Late_Transactions!K:K,"Recorded"))</x:f>
      </x:c>
      <x:c r="F578" s="21" t="n">
        <x:f>IFERROR(MAXIFS(Late_Transactions!C:C,Late_Transactions!E:E,A578,Late_Transactions!K:K,"Recorded"),"")</x:f>
        <x:v>0</x:v>
      </x:c>
      <x:c r="G578" s="17" t="str">
        <x:f>IF(E578="","",IF(E578&gt;=5,"High",IF(E578&gt;=3,"Watch","OK")))</x:f>
      </x:c>
    </x:row>
    <x:row r="579">
      <x:c r="A579" s="17" t="str">
        <x:f>IF(Students!A579="","",Students!A579)</x:f>
      </x:c>
      <x:c r="B579" s="17" t="str">
        <x:f>IF(A579="","",Students!F579)</x:f>
      </x:c>
      <x:c r="C579" s="17" t="str">
        <x:f>IF(A579="","",Students!G579)</x:f>
      </x:c>
      <x:c r="D579" s="17" t="str">
        <x:f>IF(A579="","",Students!H579)</x:f>
      </x:c>
      <x:c r="E579" s="22" t="str">
        <x:f>IF(A579="","",COUNTIFS(Late_Transactions!E:E,A579,Late_Transactions!K:K,"Recorded"))</x:f>
      </x:c>
      <x:c r="F579" s="21" t="n">
        <x:f>IFERROR(MAXIFS(Late_Transactions!C:C,Late_Transactions!E:E,A579,Late_Transactions!K:K,"Recorded"),"")</x:f>
        <x:v>0</x:v>
      </x:c>
      <x:c r="G579" s="17" t="str">
        <x:f>IF(E579="","",IF(E579&gt;=5,"High",IF(E579&gt;=3,"Watch","OK")))</x:f>
      </x:c>
    </x:row>
    <x:row r="580">
      <x:c r="A580" s="17" t="str">
        <x:f>IF(Students!A580="","",Students!A580)</x:f>
      </x:c>
      <x:c r="B580" s="17" t="str">
        <x:f>IF(A580="","",Students!F580)</x:f>
      </x:c>
      <x:c r="C580" s="17" t="str">
        <x:f>IF(A580="","",Students!G580)</x:f>
      </x:c>
      <x:c r="D580" s="17" t="str">
        <x:f>IF(A580="","",Students!H580)</x:f>
      </x:c>
      <x:c r="E580" s="22" t="str">
        <x:f>IF(A580="","",COUNTIFS(Late_Transactions!E:E,A580,Late_Transactions!K:K,"Recorded"))</x:f>
      </x:c>
      <x:c r="F580" s="21" t="n">
        <x:f>IFERROR(MAXIFS(Late_Transactions!C:C,Late_Transactions!E:E,A580,Late_Transactions!K:K,"Recorded"),"")</x:f>
        <x:v>0</x:v>
      </x:c>
      <x:c r="G580" s="17" t="str">
        <x:f>IF(E580="","",IF(E580&gt;=5,"High",IF(E580&gt;=3,"Watch","OK")))</x:f>
      </x:c>
    </x:row>
    <x:row r="581">
      <x:c r="A581" s="17" t="str">
        <x:f>IF(Students!A581="","",Students!A581)</x:f>
      </x:c>
      <x:c r="B581" s="17" t="str">
        <x:f>IF(A581="","",Students!F581)</x:f>
      </x:c>
      <x:c r="C581" s="17" t="str">
        <x:f>IF(A581="","",Students!G581)</x:f>
      </x:c>
      <x:c r="D581" s="17" t="str">
        <x:f>IF(A581="","",Students!H581)</x:f>
      </x:c>
      <x:c r="E581" s="22" t="str">
        <x:f>IF(A581="","",COUNTIFS(Late_Transactions!E:E,A581,Late_Transactions!K:K,"Recorded"))</x:f>
      </x:c>
      <x:c r="F581" s="21" t="n">
        <x:f>IFERROR(MAXIFS(Late_Transactions!C:C,Late_Transactions!E:E,A581,Late_Transactions!K:K,"Recorded"),"")</x:f>
        <x:v>0</x:v>
      </x:c>
      <x:c r="G581" s="17" t="str">
        <x:f>IF(E581="","",IF(E581&gt;=5,"High",IF(E581&gt;=3,"Watch","OK")))</x:f>
      </x:c>
    </x:row>
    <x:row r="582">
      <x:c r="A582" s="17" t="str">
        <x:f>IF(Students!A582="","",Students!A582)</x:f>
      </x:c>
      <x:c r="B582" s="17" t="str">
        <x:f>IF(A582="","",Students!F582)</x:f>
      </x:c>
      <x:c r="C582" s="17" t="str">
        <x:f>IF(A582="","",Students!G582)</x:f>
      </x:c>
      <x:c r="D582" s="17" t="str">
        <x:f>IF(A582="","",Students!H582)</x:f>
      </x:c>
      <x:c r="E582" s="22" t="str">
        <x:f>IF(A582="","",COUNTIFS(Late_Transactions!E:E,A582,Late_Transactions!K:K,"Recorded"))</x:f>
      </x:c>
      <x:c r="F582" s="21" t="n">
        <x:f>IFERROR(MAXIFS(Late_Transactions!C:C,Late_Transactions!E:E,A582,Late_Transactions!K:K,"Recorded"),"")</x:f>
        <x:v>0</x:v>
      </x:c>
      <x:c r="G582" s="17" t="str">
        <x:f>IF(E582="","",IF(E582&gt;=5,"High",IF(E582&gt;=3,"Watch","OK")))</x:f>
      </x:c>
    </x:row>
    <x:row r="583">
      <x:c r="A583" s="17" t="str">
        <x:f>IF(Students!A583="","",Students!A583)</x:f>
      </x:c>
      <x:c r="B583" s="17" t="str">
        <x:f>IF(A583="","",Students!F583)</x:f>
      </x:c>
      <x:c r="C583" s="17" t="str">
        <x:f>IF(A583="","",Students!G583)</x:f>
      </x:c>
      <x:c r="D583" s="17" t="str">
        <x:f>IF(A583="","",Students!H583)</x:f>
      </x:c>
      <x:c r="E583" s="22" t="str">
        <x:f>IF(A583="","",COUNTIFS(Late_Transactions!E:E,A583,Late_Transactions!K:K,"Recorded"))</x:f>
      </x:c>
      <x:c r="F583" s="21" t="n">
        <x:f>IFERROR(MAXIFS(Late_Transactions!C:C,Late_Transactions!E:E,A583,Late_Transactions!K:K,"Recorded"),"")</x:f>
        <x:v>0</x:v>
      </x:c>
      <x:c r="G583" s="17" t="str">
        <x:f>IF(E583="","",IF(E583&gt;=5,"High",IF(E583&gt;=3,"Watch","OK")))</x:f>
      </x:c>
    </x:row>
    <x:row r="584">
      <x:c r="A584" s="17" t="str">
        <x:f>IF(Students!A584="","",Students!A584)</x:f>
      </x:c>
      <x:c r="B584" s="17" t="str">
        <x:f>IF(A584="","",Students!F584)</x:f>
      </x:c>
      <x:c r="C584" s="17" t="str">
        <x:f>IF(A584="","",Students!G584)</x:f>
      </x:c>
      <x:c r="D584" s="17" t="str">
        <x:f>IF(A584="","",Students!H584)</x:f>
      </x:c>
      <x:c r="E584" s="22" t="str">
        <x:f>IF(A584="","",COUNTIFS(Late_Transactions!E:E,A584,Late_Transactions!K:K,"Recorded"))</x:f>
      </x:c>
      <x:c r="F584" s="21" t="n">
        <x:f>IFERROR(MAXIFS(Late_Transactions!C:C,Late_Transactions!E:E,A584,Late_Transactions!K:K,"Recorded"),"")</x:f>
        <x:v>0</x:v>
      </x:c>
      <x:c r="G584" s="17" t="str">
        <x:f>IF(E584="","",IF(E584&gt;=5,"High",IF(E584&gt;=3,"Watch","OK")))</x:f>
      </x:c>
    </x:row>
    <x:row r="585">
      <x:c r="A585" s="17" t="str">
        <x:f>IF(Students!A585="","",Students!A585)</x:f>
      </x:c>
      <x:c r="B585" s="17" t="str">
        <x:f>IF(A585="","",Students!F585)</x:f>
      </x:c>
      <x:c r="C585" s="17" t="str">
        <x:f>IF(A585="","",Students!G585)</x:f>
      </x:c>
      <x:c r="D585" s="17" t="str">
        <x:f>IF(A585="","",Students!H585)</x:f>
      </x:c>
      <x:c r="E585" s="22" t="str">
        <x:f>IF(A585="","",COUNTIFS(Late_Transactions!E:E,A585,Late_Transactions!K:K,"Recorded"))</x:f>
      </x:c>
      <x:c r="F585" s="21" t="n">
        <x:f>IFERROR(MAXIFS(Late_Transactions!C:C,Late_Transactions!E:E,A585,Late_Transactions!K:K,"Recorded"),"")</x:f>
        <x:v>0</x:v>
      </x:c>
      <x:c r="G585" s="17" t="str">
        <x:f>IF(E585="","",IF(E585&gt;=5,"High",IF(E585&gt;=3,"Watch","OK")))</x:f>
      </x:c>
    </x:row>
    <x:row r="586">
      <x:c r="A586" s="17" t="str">
        <x:f>IF(Students!A586="","",Students!A586)</x:f>
      </x:c>
      <x:c r="B586" s="17" t="str">
        <x:f>IF(A586="","",Students!F586)</x:f>
      </x:c>
      <x:c r="C586" s="17" t="str">
        <x:f>IF(A586="","",Students!G586)</x:f>
      </x:c>
      <x:c r="D586" s="17" t="str">
        <x:f>IF(A586="","",Students!H586)</x:f>
      </x:c>
      <x:c r="E586" s="22" t="str">
        <x:f>IF(A586="","",COUNTIFS(Late_Transactions!E:E,A586,Late_Transactions!K:K,"Recorded"))</x:f>
      </x:c>
      <x:c r="F586" s="21" t="n">
        <x:f>IFERROR(MAXIFS(Late_Transactions!C:C,Late_Transactions!E:E,A586,Late_Transactions!K:K,"Recorded"),"")</x:f>
        <x:v>0</x:v>
      </x:c>
      <x:c r="G586" s="17" t="str">
        <x:f>IF(E586="","",IF(E586&gt;=5,"High",IF(E586&gt;=3,"Watch","OK")))</x:f>
      </x:c>
    </x:row>
    <x:row r="587">
      <x:c r="A587" s="17" t="str">
        <x:f>IF(Students!A587="","",Students!A587)</x:f>
      </x:c>
      <x:c r="B587" s="17" t="str">
        <x:f>IF(A587="","",Students!F587)</x:f>
      </x:c>
      <x:c r="C587" s="17" t="str">
        <x:f>IF(A587="","",Students!G587)</x:f>
      </x:c>
      <x:c r="D587" s="17" t="str">
        <x:f>IF(A587="","",Students!H587)</x:f>
      </x:c>
      <x:c r="E587" s="22" t="str">
        <x:f>IF(A587="","",COUNTIFS(Late_Transactions!E:E,A587,Late_Transactions!K:K,"Recorded"))</x:f>
      </x:c>
      <x:c r="F587" s="21" t="n">
        <x:f>IFERROR(MAXIFS(Late_Transactions!C:C,Late_Transactions!E:E,A587,Late_Transactions!K:K,"Recorded"),"")</x:f>
        <x:v>0</x:v>
      </x:c>
      <x:c r="G587" s="17" t="str">
        <x:f>IF(E587="","",IF(E587&gt;=5,"High",IF(E587&gt;=3,"Watch","OK")))</x:f>
      </x:c>
    </x:row>
    <x:row r="588">
      <x:c r="A588" s="17" t="str">
        <x:f>IF(Students!A588="","",Students!A588)</x:f>
      </x:c>
      <x:c r="B588" s="17" t="str">
        <x:f>IF(A588="","",Students!F588)</x:f>
      </x:c>
      <x:c r="C588" s="17" t="str">
        <x:f>IF(A588="","",Students!G588)</x:f>
      </x:c>
      <x:c r="D588" s="17" t="str">
        <x:f>IF(A588="","",Students!H588)</x:f>
      </x:c>
      <x:c r="E588" s="22" t="str">
        <x:f>IF(A588="","",COUNTIFS(Late_Transactions!E:E,A588,Late_Transactions!K:K,"Recorded"))</x:f>
      </x:c>
      <x:c r="F588" s="21" t="n">
        <x:f>IFERROR(MAXIFS(Late_Transactions!C:C,Late_Transactions!E:E,A588,Late_Transactions!K:K,"Recorded"),"")</x:f>
        <x:v>0</x:v>
      </x:c>
      <x:c r="G588" s="17" t="str">
        <x:f>IF(E588="","",IF(E588&gt;=5,"High",IF(E588&gt;=3,"Watch","OK")))</x:f>
      </x:c>
    </x:row>
    <x:row r="589">
      <x:c r="A589" s="17" t="str">
        <x:f>IF(Students!A589="","",Students!A589)</x:f>
      </x:c>
      <x:c r="B589" s="17" t="str">
        <x:f>IF(A589="","",Students!F589)</x:f>
      </x:c>
      <x:c r="C589" s="17" t="str">
        <x:f>IF(A589="","",Students!G589)</x:f>
      </x:c>
      <x:c r="D589" s="17" t="str">
        <x:f>IF(A589="","",Students!H589)</x:f>
      </x:c>
      <x:c r="E589" s="22" t="str">
        <x:f>IF(A589="","",COUNTIFS(Late_Transactions!E:E,A589,Late_Transactions!K:K,"Recorded"))</x:f>
      </x:c>
      <x:c r="F589" s="21" t="n">
        <x:f>IFERROR(MAXIFS(Late_Transactions!C:C,Late_Transactions!E:E,A589,Late_Transactions!K:K,"Recorded"),"")</x:f>
        <x:v>0</x:v>
      </x:c>
      <x:c r="G589" s="17" t="str">
        <x:f>IF(E589="","",IF(E589&gt;=5,"High",IF(E589&gt;=3,"Watch","OK")))</x:f>
      </x:c>
    </x:row>
    <x:row r="590">
      <x:c r="A590" s="17" t="str">
        <x:f>IF(Students!A590="","",Students!A590)</x:f>
      </x:c>
      <x:c r="B590" s="17" t="str">
        <x:f>IF(A590="","",Students!F590)</x:f>
      </x:c>
      <x:c r="C590" s="17" t="str">
        <x:f>IF(A590="","",Students!G590)</x:f>
      </x:c>
      <x:c r="D590" s="17" t="str">
        <x:f>IF(A590="","",Students!H590)</x:f>
      </x:c>
      <x:c r="E590" s="22" t="str">
        <x:f>IF(A590="","",COUNTIFS(Late_Transactions!E:E,A590,Late_Transactions!K:K,"Recorded"))</x:f>
      </x:c>
      <x:c r="F590" s="21" t="n">
        <x:f>IFERROR(MAXIFS(Late_Transactions!C:C,Late_Transactions!E:E,A590,Late_Transactions!K:K,"Recorded"),"")</x:f>
        <x:v>0</x:v>
      </x:c>
      <x:c r="G590" s="17" t="str">
        <x:f>IF(E590="","",IF(E590&gt;=5,"High",IF(E590&gt;=3,"Watch","OK")))</x:f>
      </x:c>
    </x:row>
    <x:row r="591">
      <x:c r="A591" s="17" t="str">
        <x:f>IF(Students!A591="","",Students!A591)</x:f>
      </x:c>
      <x:c r="B591" s="17" t="str">
        <x:f>IF(A591="","",Students!F591)</x:f>
      </x:c>
      <x:c r="C591" s="17" t="str">
        <x:f>IF(A591="","",Students!G591)</x:f>
      </x:c>
      <x:c r="D591" s="17" t="str">
        <x:f>IF(A591="","",Students!H591)</x:f>
      </x:c>
      <x:c r="E591" s="22" t="str">
        <x:f>IF(A591="","",COUNTIFS(Late_Transactions!E:E,A591,Late_Transactions!K:K,"Recorded"))</x:f>
      </x:c>
      <x:c r="F591" s="21" t="n">
        <x:f>IFERROR(MAXIFS(Late_Transactions!C:C,Late_Transactions!E:E,A591,Late_Transactions!K:K,"Recorded"),"")</x:f>
        <x:v>0</x:v>
      </x:c>
      <x:c r="G591" s="17" t="str">
        <x:f>IF(E591="","",IF(E591&gt;=5,"High",IF(E591&gt;=3,"Watch","OK")))</x:f>
      </x:c>
    </x:row>
    <x:row r="592">
      <x:c r="A592" s="17" t="str">
        <x:f>IF(Students!A592="","",Students!A592)</x:f>
      </x:c>
      <x:c r="B592" s="17" t="str">
        <x:f>IF(A592="","",Students!F592)</x:f>
      </x:c>
      <x:c r="C592" s="17" t="str">
        <x:f>IF(A592="","",Students!G592)</x:f>
      </x:c>
      <x:c r="D592" s="17" t="str">
        <x:f>IF(A592="","",Students!H592)</x:f>
      </x:c>
      <x:c r="E592" s="22" t="str">
        <x:f>IF(A592="","",COUNTIFS(Late_Transactions!E:E,A592,Late_Transactions!K:K,"Recorded"))</x:f>
      </x:c>
      <x:c r="F592" s="21" t="n">
        <x:f>IFERROR(MAXIFS(Late_Transactions!C:C,Late_Transactions!E:E,A592,Late_Transactions!K:K,"Recorded"),"")</x:f>
        <x:v>0</x:v>
      </x:c>
      <x:c r="G592" s="17" t="str">
        <x:f>IF(E592="","",IF(E592&gt;=5,"High",IF(E592&gt;=3,"Watch","OK")))</x:f>
      </x:c>
    </x:row>
    <x:row r="593">
      <x:c r="A593" s="17" t="str">
        <x:f>IF(Students!A593="","",Students!A593)</x:f>
      </x:c>
      <x:c r="B593" s="17" t="str">
        <x:f>IF(A593="","",Students!F593)</x:f>
      </x:c>
      <x:c r="C593" s="17" t="str">
        <x:f>IF(A593="","",Students!G593)</x:f>
      </x:c>
      <x:c r="D593" s="17" t="str">
        <x:f>IF(A593="","",Students!H593)</x:f>
      </x:c>
      <x:c r="E593" s="22" t="str">
        <x:f>IF(A593="","",COUNTIFS(Late_Transactions!E:E,A593,Late_Transactions!K:K,"Recorded"))</x:f>
      </x:c>
      <x:c r="F593" s="21" t="n">
        <x:f>IFERROR(MAXIFS(Late_Transactions!C:C,Late_Transactions!E:E,A593,Late_Transactions!K:K,"Recorded"),"")</x:f>
        <x:v>0</x:v>
      </x:c>
      <x:c r="G593" s="17" t="str">
        <x:f>IF(E593="","",IF(E593&gt;=5,"High",IF(E593&gt;=3,"Watch","OK")))</x:f>
      </x:c>
    </x:row>
    <x:row r="594">
      <x:c r="A594" s="17" t="str">
        <x:f>IF(Students!A594="","",Students!A594)</x:f>
      </x:c>
      <x:c r="B594" s="17" t="str">
        <x:f>IF(A594="","",Students!F594)</x:f>
      </x:c>
      <x:c r="C594" s="17" t="str">
        <x:f>IF(A594="","",Students!G594)</x:f>
      </x:c>
      <x:c r="D594" s="17" t="str">
        <x:f>IF(A594="","",Students!H594)</x:f>
      </x:c>
      <x:c r="E594" s="22" t="str">
        <x:f>IF(A594="","",COUNTIFS(Late_Transactions!E:E,A594,Late_Transactions!K:K,"Recorded"))</x:f>
      </x:c>
      <x:c r="F594" s="21" t="n">
        <x:f>IFERROR(MAXIFS(Late_Transactions!C:C,Late_Transactions!E:E,A594,Late_Transactions!K:K,"Recorded"),"")</x:f>
        <x:v>0</x:v>
      </x:c>
      <x:c r="G594" s="17" t="str">
        <x:f>IF(E594="","",IF(E594&gt;=5,"High",IF(E594&gt;=3,"Watch","OK")))</x:f>
      </x:c>
    </x:row>
    <x:row r="595">
      <x:c r="A595" s="17" t="str">
        <x:f>IF(Students!A595="","",Students!A595)</x:f>
      </x:c>
      <x:c r="B595" s="17" t="str">
        <x:f>IF(A595="","",Students!F595)</x:f>
      </x:c>
      <x:c r="C595" s="17" t="str">
        <x:f>IF(A595="","",Students!G595)</x:f>
      </x:c>
      <x:c r="D595" s="17" t="str">
        <x:f>IF(A595="","",Students!H595)</x:f>
      </x:c>
      <x:c r="E595" s="22" t="str">
        <x:f>IF(A595="","",COUNTIFS(Late_Transactions!E:E,A595,Late_Transactions!K:K,"Recorded"))</x:f>
      </x:c>
      <x:c r="F595" s="21" t="n">
        <x:f>IFERROR(MAXIFS(Late_Transactions!C:C,Late_Transactions!E:E,A595,Late_Transactions!K:K,"Recorded"),"")</x:f>
        <x:v>0</x:v>
      </x:c>
      <x:c r="G595" s="17" t="str">
        <x:f>IF(E595="","",IF(E595&gt;=5,"High",IF(E595&gt;=3,"Watch","OK")))</x:f>
      </x:c>
    </x:row>
    <x:row r="596">
      <x:c r="A596" s="17" t="str">
        <x:f>IF(Students!A596="","",Students!A596)</x:f>
      </x:c>
      <x:c r="B596" s="17" t="str">
        <x:f>IF(A596="","",Students!F596)</x:f>
      </x:c>
      <x:c r="C596" s="17" t="str">
        <x:f>IF(A596="","",Students!G596)</x:f>
      </x:c>
      <x:c r="D596" s="17" t="str">
        <x:f>IF(A596="","",Students!H596)</x:f>
      </x:c>
      <x:c r="E596" s="22" t="str">
        <x:f>IF(A596="","",COUNTIFS(Late_Transactions!E:E,A596,Late_Transactions!K:K,"Recorded"))</x:f>
      </x:c>
      <x:c r="F596" s="21" t="n">
        <x:f>IFERROR(MAXIFS(Late_Transactions!C:C,Late_Transactions!E:E,A596,Late_Transactions!K:K,"Recorded"),"")</x:f>
        <x:v>0</x:v>
      </x:c>
      <x:c r="G596" s="17" t="str">
        <x:f>IF(E596="","",IF(E596&gt;=5,"High",IF(E596&gt;=3,"Watch","OK")))</x:f>
      </x:c>
    </x:row>
    <x:row r="597">
      <x:c r="A597" s="17" t="str">
        <x:f>IF(Students!A597="","",Students!A597)</x:f>
      </x:c>
      <x:c r="B597" s="17" t="str">
        <x:f>IF(A597="","",Students!F597)</x:f>
      </x:c>
      <x:c r="C597" s="17" t="str">
        <x:f>IF(A597="","",Students!G597)</x:f>
      </x:c>
      <x:c r="D597" s="17" t="str">
        <x:f>IF(A597="","",Students!H597)</x:f>
      </x:c>
      <x:c r="E597" s="22" t="str">
        <x:f>IF(A597="","",COUNTIFS(Late_Transactions!E:E,A597,Late_Transactions!K:K,"Recorded"))</x:f>
      </x:c>
      <x:c r="F597" s="21" t="n">
        <x:f>IFERROR(MAXIFS(Late_Transactions!C:C,Late_Transactions!E:E,A597,Late_Transactions!K:K,"Recorded"),"")</x:f>
        <x:v>0</x:v>
      </x:c>
      <x:c r="G597" s="17" t="str">
        <x:f>IF(E597="","",IF(E597&gt;=5,"High",IF(E597&gt;=3,"Watch","OK")))</x:f>
      </x:c>
    </x:row>
    <x:row r="598">
      <x:c r="A598" s="17" t="str">
        <x:f>IF(Students!A598="","",Students!A598)</x:f>
      </x:c>
      <x:c r="B598" s="17" t="str">
        <x:f>IF(A598="","",Students!F598)</x:f>
      </x:c>
      <x:c r="C598" s="17" t="str">
        <x:f>IF(A598="","",Students!G598)</x:f>
      </x:c>
      <x:c r="D598" s="17" t="str">
        <x:f>IF(A598="","",Students!H598)</x:f>
      </x:c>
      <x:c r="E598" s="22" t="str">
        <x:f>IF(A598="","",COUNTIFS(Late_Transactions!E:E,A598,Late_Transactions!K:K,"Recorded"))</x:f>
      </x:c>
      <x:c r="F598" s="21" t="n">
        <x:f>IFERROR(MAXIFS(Late_Transactions!C:C,Late_Transactions!E:E,A598,Late_Transactions!K:K,"Recorded"),"")</x:f>
        <x:v>0</x:v>
      </x:c>
      <x:c r="G598" s="17" t="str">
        <x:f>IF(E598="","",IF(E598&gt;=5,"High",IF(E598&gt;=3,"Watch","OK")))</x:f>
      </x:c>
    </x:row>
    <x:row r="599">
      <x:c r="A599" s="17" t="str">
        <x:f>IF(Students!A599="","",Students!A599)</x:f>
      </x:c>
      <x:c r="B599" s="17" t="str">
        <x:f>IF(A599="","",Students!F599)</x:f>
      </x:c>
      <x:c r="C599" s="17" t="str">
        <x:f>IF(A599="","",Students!G599)</x:f>
      </x:c>
      <x:c r="D599" s="17" t="str">
        <x:f>IF(A599="","",Students!H599)</x:f>
      </x:c>
      <x:c r="E599" s="22" t="str">
        <x:f>IF(A599="","",COUNTIFS(Late_Transactions!E:E,A599,Late_Transactions!K:K,"Recorded"))</x:f>
      </x:c>
      <x:c r="F599" s="21" t="n">
        <x:f>IFERROR(MAXIFS(Late_Transactions!C:C,Late_Transactions!E:E,A599,Late_Transactions!K:K,"Recorded"),"")</x:f>
        <x:v>0</x:v>
      </x:c>
      <x:c r="G599" s="17" t="str">
        <x:f>IF(E599="","",IF(E599&gt;=5,"High",IF(E599&gt;=3,"Watch","OK")))</x:f>
      </x:c>
    </x:row>
    <x:row r="600">
      <x:c r="A600" s="17" t="str">
        <x:f>IF(Students!A600="","",Students!A600)</x:f>
      </x:c>
      <x:c r="B600" s="17" t="str">
        <x:f>IF(A600="","",Students!F600)</x:f>
      </x:c>
      <x:c r="C600" s="17" t="str">
        <x:f>IF(A600="","",Students!G600)</x:f>
      </x:c>
      <x:c r="D600" s="17" t="str">
        <x:f>IF(A600="","",Students!H600)</x:f>
      </x:c>
      <x:c r="E600" s="22" t="str">
        <x:f>IF(A600="","",COUNTIFS(Late_Transactions!E:E,A600,Late_Transactions!K:K,"Recorded"))</x:f>
      </x:c>
      <x:c r="F600" s="21" t="n">
        <x:f>IFERROR(MAXIFS(Late_Transactions!C:C,Late_Transactions!E:E,A600,Late_Transactions!K:K,"Recorded"),"")</x:f>
        <x:v>0</x:v>
      </x:c>
      <x:c r="G600" s="17" t="str">
        <x:f>IF(E600="","",IF(E600&gt;=5,"High",IF(E600&gt;=3,"Watch","OK")))</x:f>
      </x:c>
    </x:row>
    <x:row r="601">
      <x:c r="A601" s="17" t="str">
        <x:f>IF(Students!A601="","",Students!A601)</x:f>
      </x:c>
      <x:c r="B601" s="17" t="str">
        <x:f>IF(A601="","",Students!F601)</x:f>
      </x:c>
      <x:c r="C601" s="17" t="str">
        <x:f>IF(A601="","",Students!G601)</x:f>
      </x:c>
      <x:c r="D601" s="17" t="str">
        <x:f>IF(A601="","",Students!H601)</x:f>
      </x:c>
      <x:c r="E601" s="22" t="str">
        <x:f>IF(A601="","",COUNTIFS(Late_Transactions!E:E,A601,Late_Transactions!K:K,"Recorded"))</x:f>
      </x:c>
      <x:c r="F601" s="21" t="n">
        <x:f>IFERROR(MAXIFS(Late_Transactions!C:C,Late_Transactions!E:E,A601,Late_Transactions!K:K,"Recorded"),"")</x:f>
        <x:v>0</x:v>
      </x:c>
      <x:c r="G601" s="17" t="str">
        <x:f>IF(E601="","",IF(E601&gt;=5,"High",IF(E601&gt;=3,"Watch","OK")))</x:f>
      </x:c>
    </x:row>
    <x:row r="602">
      <x:c r="A602" s="17" t="str">
        <x:f>IF(Students!A602="","",Students!A602)</x:f>
      </x:c>
      <x:c r="B602" s="17" t="str">
        <x:f>IF(A602="","",Students!F602)</x:f>
      </x:c>
      <x:c r="C602" s="17" t="str">
        <x:f>IF(A602="","",Students!G602)</x:f>
      </x:c>
      <x:c r="D602" s="17" t="str">
        <x:f>IF(A602="","",Students!H602)</x:f>
      </x:c>
      <x:c r="E602" s="22" t="str">
        <x:f>IF(A602="","",COUNTIFS(Late_Transactions!E:E,A602,Late_Transactions!K:K,"Recorded"))</x:f>
      </x:c>
      <x:c r="F602" s="21" t="n">
        <x:f>IFERROR(MAXIFS(Late_Transactions!C:C,Late_Transactions!E:E,A602,Late_Transactions!K:K,"Recorded"),"")</x:f>
        <x:v>0</x:v>
      </x:c>
      <x:c r="G602" s="17" t="str">
        <x:f>IF(E602="","",IF(E602&gt;=5,"High",IF(E602&gt;=3,"Watch","OK")))</x:f>
      </x:c>
    </x:row>
    <x:row r="603">
      <x:c r="A603" s="17" t="str">
        <x:f>IF(Students!A603="","",Students!A603)</x:f>
      </x:c>
      <x:c r="B603" s="17" t="str">
        <x:f>IF(A603="","",Students!F603)</x:f>
      </x:c>
      <x:c r="C603" s="17" t="str">
        <x:f>IF(A603="","",Students!G603)</x:f>
      </x:c>
      <x:c r="D603" s="17" t="str">
        <x:f>IF(A603="","",Students!H603)</x:f>
      </x:c>
      <x:c r="E603" s="22" t="str">
        <x:f>IF(A603="","",COUNTIFS(Late_Transactions!E:E,A603,Late_Transactions!K:K,"Recorded"))</x:f>
      </x:c>
      <x:c r="F603" s="21" t="n">
        <x:f>IFERROR(MAXIFS(Late_Transactions!C:C,Late_Transactions!E:E,A603,Late_Transactions!K:K,"Recorded"),"")</x:f>
        <x:v>0</x:v>
      </x:c>
      <x:c r="G603" s="17" t="str">
        <x:f>IF(E603="","",IF(E603&gt;=5,"High",IF(E603&gt;=3,"Watch","OK")))</x:f>
      </x:c>
    </x:row>
    <x:row r="604">
      <x:c r="A604" s="17" t="str">
        <x:f>IF(Students!A604="","",Students!A604)</x:f>
      </x:c>
      <x:c r="B604" s="17" t="str">
        <x:f>IF(A604="","",Students!F604)</x:f>
      </x:c>
      <x:c r="C604" s="17" t="str">
        <x:f>IF(A604="","",Students!G604)</x:f>
      </x:c>
      <x:c r="D604" s="17" t="str">
        <x:f>IF(A604="","",Students!H604)</x:f>
      </x:c>
      <x:c r="E604" s="22" t="str">
        <x:f>IF(A604="","",COUNTIFS(Late_Transactions!E:E,A604,Late_Transactions!K:K,"Recorded"))</x:f>
      </x:c>
      <x:c r="F604" s="21" t="n">
        <x:f>IFERROR(MAXIFS(Late_Transactions!C:C,Late_Transactions!E:E,A604,Late_Transactions!K:K,"Recorded"),"")</x:f>
        <x:v>0</x:v>
      </x:c>
      <x:c r="G604" s="17" t="str">
        <x:f>IF(E604="","",IF(E604&gt;=5,"High",IF(E604&gt;=3,"Watch","OK")))</x:f>
      </x:c>
    </x:row>
    <x:row r="605">
      <x:c r="A605" s="17" t="str">
        <x:f>IF(Students!A605="","",Students!A605)</x:f>
      </x:c>
      <x:c r="B605" s="17" t="str">
        <x:f>IF(A605="","",Students!F605)</x:f>
      </x:c>
      <x:c r="C605" s="17" t="str">
        <x:f>IF(A605="","",Students!G605)</x:f>
      </x:c>
      <x:c r="D605" s="17" t="str">
        <x:f>IF(A605="","",Students!H605)</x:f>
      </x:c>
      <x:c r="E605" s="22" t="str">
        <x:f>IF(A605="","",COUNTIFS(Late_Transactions!E:E,A605,Late_Transactions!K:K,"Recorded"))</x:f>
      </x:c>
      <x:c r="F605" s="21" t="n">
        <x:f>IFERROR(MAXIFS(Late_Transactions!C:C,Late_Transactions!E:E,A605,Late_Transactions!K:K,"Recorded"),"")</x:f>
        <x:v>0</x:v>
      </x:c>
      <x:c r="G605" s="17" t="str">
        <x:f>IF(E605="","",IF(E605&gt;=5,"High",IF(E605&gt;=3,"Watch","OK")))</x:f>
      </x:c>
    </x:row>
    <x:row r="606">
      <x:c r="A606" s="17" t="str">
        <x:f>IF(Students!A606="","",Students!A606)</x:f>
      </x:c>
      <x:c r="B606" s="17" t="str">
        <x:f>IF(A606="","",Students!F606)</x:f>
      </x:c>
      <x:c r="C606" s="17" t="str">
        <x:f>IF(A606="","",Students!G606)</x:f>
      </x:c>
      <x:c r="D606" s="17" t="str">
        <x:f>IF(A606="","",Students!H606)</x:f>
      </x:c>
      <x:c r="E606" s="22" t="str">
        <x:f>IF(A606="","",COUNTIFS(Late_Transactions!E:E,A606,Late_Transactions!K:K,"Recorded"))</x:f>
      </x:c>
      <x:c r="F606" s="21" t="n">
        <x:f>IFERROR(MAXIFS(Late_Transactions!C:C,Late_Transactions!E:E,A606,Late_Transactions!K:K,"Recorded"),"")</x:f>
        <x:v>0</x:v>
      </x:c>
      <x:c r="G606" s="17" t="str">
        <x:f>IF(E606="","",IF(E606&gt;=5,"High",IF(E606&gt;=3,"Watch","OK")))</x:f>
      </x:c>
    </x:row>
    <x:row r="607">
      <x:c r="A607" s="17" t="str">
        <x:f>IF(Students!A607="","",Students!A607)</x:f>
      </x:c>
      <x:c r="B607" s="17" t="str">
        <x:f>IF(A607="","",Students!F607)</x:f>
      </x:c>
      <x:c r="C607" s="17" t="str">
        <x:f>IF(A607="","",Students!G607)</x:f>
      </x:c>
      <x:c r="D607" s="17" t="str">
        <x:f>IF(A607="","",Students!H607)</x:f>
      </x:c>
      <x:c r="E607" s="22" t="str">
        <x:f>IF(A607="","",COUNTIFS(Late_Transactions!E:E,A607,Late_Transactions!K:K,"Recorded"))</x:f>
      </x:c>
      <x:c r="F607" s="21" t="n">
        <x:f>IFERROR(MAXIFS(Late_Transactions!C:C,Late_Transactions!E:E,A607,Late_Transactions!K:K,"Recorded"),"")</x:f>
        <x:v>0</x:v>
      </x:c>
      <x:c r="G607" s="17" t="str">
        <x:f>IF(E607="","",IF(E607&gt;=5,"High",IF(E607&gt;=3,"Watch","OK")))</x:f>
      </x:c>
    </x:row>
    <x:row r="608">
      <x:c r="A608" s="17" t="str">
        <x:f>IF(Students!A608="","",Students!A608)</x:f>
      </x:c>
      <x:c r="B608" s="17" t="str">
        <x:f>IF(A608="","",Students!F608)</x:f>
      </x:c>
      <x:c r="C608" s="17" t="str">
        <x:f>IF(A608="","",Students!G608)</x:f>
      </x:c>
      <x:c r="D608" s="17" t="str">
        <x:f>IF(A608="","",Students!H608)</x:f>
      </x:c>
      <x:c r="E608" s="22" t="str">
        <x:f>IF(A608="","",COUNTIFS(Late_Transactions!E:E,A608,Late_Transactions!K:K,"Recorded"))</x:f>
      </x:c>
      <x:c r="F608" s="21" t="n">
        <x:f>IFERROR(MAXIFS(Late_Transactions!C:C,Late_Transactions!E:E,A608,Late_Transactions!K:K,"Recorded"),"")</x:f>
        <x:v>0</x:v>
      </x:c>
      <x:c r="G608" s="17" t="str">
        <x:f>IF(E608="","",IF(E608&gt;=5,"High",IF(E608&gt;=3,"Watch","OK")))</x:f>
      </x:c>
    </x:row>
    <x:row r="609">
      <x:c r="A609" s="17" t="str">
        <x:f>IF(Students!A609="","",Students!A609)</x:f>
      </x:c>
      <x:c r="B609" s="17" t="str">
        <x:f>IF(A609="","",Students!F609)</x:f>
      </x:c>
      <x:c r="C609" s="17" t="str">
        <x:f>IF(A609="","",Students!G609)</x:f>
      </x:c>
      <x:c r="D609" s="17" t="str">
        <x:f>IF(A609="","",Students!H609)</x:f>
      </x:c>
      <x:c r="E609" s="22" t="str">
        <x:f>IF(A609="","",COUNTIFS(Late_Transactions!E:E,A609,Late_Transactions!K:K,"Recorded"))</x:f>
      </x:c>
      <x:c r="F609" s="21" t="n">
        <x:f>IFERROR(MAXIFS(Late_Transactions!C:C,Late_Transactions!E:E,A609,Late_Transactions!K:K,"Recorded"),"")</x:f>
        <x:v>0</x:v>
      </x:c>
      <x:c r="G609" s="17" t="str">
        <x:f>IF(E609="","",IF(E609&gt;=5,"High",IF(E609&gt;=3,"Watch","OK")))</x:f>
      </x:c>
    </x:row>
    <x:row r="610">
      <x:c r="A610" s="17" t="str">
        <x:f>IF(Students!A610="","",Students!A610)</x:f>
      </x:c>
      <x:c r="B610" s="17" t="str">
        <x:f>IF(A610="","",Students!F610)</x:f>
      </x:c>
      <x:c r="C610" s="17" t="str">
        <x:f>IF(A610="","",Students!G610)</x:f>
      </x:c>
      <x:c r="D610" s="17" t="str">
        <x:f>IF(A610="","",Students!H610)</x:f>
      </x:c>
      <x:c r="E610" s="22" t="str">
        <x:f>IF(A610="","",COUNTIFS(Late_Transactions!E:E,A610,Late_Transactions!K:K,"Recorded"))</x:f>
      </x:c>
      <x:c r="F610" s="21" t="n">
        <x:f>IFERROR(MAXIFS(Late_Transactions!C:C,Late_Transactions!E:E,A610,Late_Transactions!K:K,"Recorded"),"")</x:f>
        <x:v>0</x:v>
      </x:c>
      <x:c r="G610" s="17" t="str">
        <x:f>IF(E610="","",IF(E610&gt;=5,"High",IF(E610&gt;=3,"Watch","OK")))</x:f>
      </x:c>
    </x:row>
    <x:row r="611">
      <x:c r="A611" s="17" t="str">
        <x:f>IF(Students!A611="","",Students!A611)</x:f>
      </x:c>
      <x:c r="B611" s="17" t="str">
        <x:f>IF(A611="","",Students!F611)</x:f>
      </x:c>
      <x:c r="C611" s="17" t="str">
        <x:f>IF(A611="","",Students!G611)</x:f>
      </x:c>
      <x:c r="D611" s="17" t="str">
        <x:f>IF(A611="","",Students!H611)</x:f>
      </x:c>
      <x:c r="E611" s="22" t="str">
        <x:f>IF(A611="","",COUNTIFS(Late_Transactions!E:E,A611,Late_Transactions!K:K,"Recorded"))</x:f>
      </x:c>
      <x:c r="F611" s="21" t="n">
        <x:f>IFERROR(MAXIFS(Late_Transactions!C:C,Late_Transactions!E:E,A611,Late_Transactions!K:K,"Recorded"),"")</x:f>
        <x:v>0</x:v>
      </x:c>
      <x:c r="G611" s="17" t="str">
        <x:f>IF(E611="","",IF(E611&gt;=5,"High",IF(E611&gt;=3,"Watch","OK")))</x:f>
      </x:c>
    </x:row>
    <x:row r="612">
      <x:c r="A612" s="17" t="str">
        <x:f>IF(Students!A612="","",Students!A612)</x:f>
      </x:c>
      <x:c r="B612" s="17" t="str">
        <x:f>IF(A612="","",Students!F612)</x:f>
      </x:c>
      <x:c r="C612" s="17" t="str">
        <x:f>IF(A612="","",Students!G612)</x:f>
      </x:c>
      <x:c r="D612" s="17" t="str">
        <x:f>IF(A612="","",Students!H612)</x:f>
      </x:c>
      <x:c r="E612" s="22" t="str">
        <x:f>IF(A612="","",COUNTIFS(Late_Transactions!E:E,A612,Late_Transactions!K:K,"Recorded"))</x:f>
      </x:c>
      <x:c r="F612" s="21" t="n">
        <x:f>IFERROR(MAXIFS(Late_Transactions!C:C,Late_Transactions!E:E,A612,Late_Transactions!K:K,"Recorded"),"")</x:f>
        <x:v>0</x:v>
      </x:c>
      <x:c r="G612" s="17" t="str">
        <x:f>IF(E612="","",IF(E612&gt;=5,"High",IF(E612&gt;=3,"Watch","OK")))</x:f>
      </x:c>
    </x:row>
    <x:row r="613">
      <x:c r="A613" s="17" t="str">
        <x:f>IF(Students!A613="","",Students!A613)</x:f>
      </x:c>
      <x:c r="B613" s="17" t="str">
        <x:f>IF(A613="","",Students!F613)</x:f>
      </x:c>
      <x:c r="C613" s="17" t="str">
        <x:f>IF(A613="","",Students!G613)</x:f>
      </x:c>
      <x:c r="D613" s="17" t="str">
        <x:f>IF(A613="","",Students!H613)</x:f>
      </x:c>
      <x:c r="E613" s="22" t="str">
        <x:f>IF(A613="","",COUNTIFS(Late_Transactions!E:E,A613,Late_Transactions!K:K,"Recorded"))</x:f>
      </x:c>
      <x:c r="F613" s="21" t="n">
        <x:f>IFERROR(MAXIFS(Late_Transactions!C:C,Late_Transactions!E:E,A613,Late_Transactions!K:K,"Recorded"),"")</x:f>
        <x:v>0</x:v>
      </x:c>
      <x:c r="G613" s="17" t="str">
        <x:f>IF(E613="","",IF(E613&gt;=5,"High",IF(E613&gt;=3,"Watch","OK")))</x:f>
      </x:c>
    </x:row>
    <x:row r="614">
      <x:c r="A614" s="17" t="str">
        <x:f>IF(Students!A614="","",Students!A614)</x:f>
      </x:c>
      <x:c r="B614" s="17" t="str">
        <x:f>IF(A614="","",Students!F614)</x:f>
      </x:c>
      <x:c r="C614" s="17" t="str">
        <x:f>IF(A614="","",Students!G614)</x:f>
      </x:c>
      <x:c r="D614" s="17" t="str">
        <x:f>IF(A614="","",Students!H614)</x:f>
      </x:c>
      <x:c r="E614" s="22" t="str">
        <x:f>IF(A614="","",COUNTIFS(Late_Transactions!E:E,A614,Late_Transactions!K:K,"Recorded"))</x:f>
      </x:c>
      <x:c r="F614" s="21" t="n">
        <x:f>IFERROR(MAXIFS(Late_Transactions!C:C,Late_Transactions!E:E,A614,Late_Transactions!K:K,"Recorded"),"")</x:f>
        <x:v>0</x:v>
      </x:c>
      <x:c r="G614" s="17" t="str">
        <x:f>IF(E614="","",IF(E614&gt;=5,"High",IF(E614&gt;=3,"Watch","OK")))</x:f>
      </x:c>
    </x:row>
    <x:row r="615">
      <x:c r="A615" s="17" t="str">
        <x:f>IF(Students!A615="","",Students!A615)</x:f>
      </x:c>
      <x:c r="B615" s="17" t="str">
        <x:f>IF(A615="","",Students!F615)</x:f>
      </x:c>
      <x:c r="C615" s="17" t="str">
        <x:f>IF(A615="","",Students!G615)</x:f>
      </x:c>
      <x:c r="D615" s="17" t="str">
        <x:f>IF(A615="","",Students!H615)</x:f>
      </x:c>
      <x:c r="E615" s="22" t="str">
        <x:f>IF(A615="","",COUNTIFS(Late_Transactions!E:E,A615,Late_Transactions!K:K,"Recorded"))</x:f>
      </x:c>
      <x:c r="F615" s="21" t="n">
        <x:f>IFERROR(MAXIFS(Late_Transactions!C:C,Late_Transactions!E:E,A615,Late_Transactions!K:K,"Recorded"),"")</x:f>
        <x:v>0</x:v>
      </x:c>
      <x:c r="G615" s="17" t="str">
        <x:f>IF(E615="","",IF(E615&gt;=5,"High",IF(E615&gt;=3,"Watch","OK")))</x:f>
      </x:c>
    </x:row>
    <x:row r="616">
      <x:c r="A616" s="17" t="str">
        <x:f>IF(Students!A616="","",Students!A616)</x:f>
      </x:c>
      <x:c r="B616" s="17" t="str">
        <x:f>IF(A616="","",Students!F616)</x:f>
      </x:c>
      <x:c r="C616" s="17" t="str">
        <x:f>IF(A616="","",Students!G616)</x:f>
      </x:c>
      <x:c r="D616" s="17" t="str">
        <x:f>IF(A616="","",Students!H616)</x:f>
      </x:c>
      <x:c r="E616" s="22" t="str">
        <x:f>IF(A616="","",COUNTIFS(Late_Transactions!E:E,A616,Late_Transactions!K:K,"Recorded"))</x:f>
      </x:c>
      <x:c r="F616" s="21" t="n">
        <x:f>IFERROR(MAXIFS(Late_Transactions!C:C,Late_Transactions!E:E,A616,Late_Transactions!K:K,"Recorded"),"")</x:f>
        <x:v>0</x:v>
      </x:c>
      <x:c r="G616" s="17" t="str">
        <x:f>IF(E616="","",IF(E616&gt;=5,"High",IF(E616&gt;=3,"Watch","OK")))</x:f>
      </x:c>
    </x:row>
    <x:row r="617">
      <x:c r="A617" s="17" t="str">
        <x:f>IF(Students!A617="","",Students!A617)</x:f>
      </x:c>
      <x:c r="B617" s="17" t="str">
        <x:f>IF(A617="","",Students!F617)</x:f>
      </x:c>
      <x:c r="C617" s="17" t="str">
        <x:f>IF(A617="","",Students!G617)</x:f>
      </x:c>
      <x:c r="D617" s="17" t="str">
        <x:f>IF(A617="","",Students!H617)</x:f>
      </x:c>
      <x:c r="E617" s="22" t="str">
        <x:f>IF(A617="","",COUNTIFS(Late_Transactions!E:E,A617,Late_Transactions!K:K,"Recorded"))</x:f>
      </x:c>
      <x:c r="F617" s="21" t="n">
        <x:f>IFERROR(MAXIFS(Late_Transactions!C:C,Late_Transactions!E:E,A617,Late_Transactions!K:K,"Recorded"),"")</x:f>
        <x:v>0</x:v>
      </x:c>
      <x:c r="G617" s="17" t="str">
        <x:f>IF(E617="","",IF(E617&gt;=5,"High",IF(E617&gt;=3,"Watch","OK")))</x:f>
      </x:c>
    </x:row>
    <x:row r="618">
      <x:c r="A618" s="17" t="str">
        <x:f>IF(Students!A618="","",Students!A618)</x:f>
      </x:c>
      <x:c r="B618" s="17" t="str">
        <x:f>IF(A618="","",Students!F618)</x:f>
      </x:c>
      <x:c r="C618" s="17" t="str">
        <x:f>IF(A618="","",Students!G618)</x:f>
      </x:c>
      <x:c r="D618" s="17" t="str">
        <x:f>IF(A618="","",Students!H618)</x:f>
      </x:c>
      <x:c r="E618" s="22" t="str">
        <x:f>IF(A618="","",COUNTIFS(Late_Transactions!E:E,A618,Late_Transactions!K:K,"Recorded"))</x:f>
      </x:c>
      <x:c r="F618" s="21" t="n">
        <x:f>IFERROR(MAXIFS(Late_Transactions!C:C,Late_Transactions!E:E,A618,Late_Transactions!K:K,"Recorded"),"")</x:f>
        <x:v>0</x:v>
      </x:c>
      <x:c r="G618" s="17" t="str">
        <x:f>IF(E618="","",IF(E618&gt;=5,"High",IF(E618&gt;=3,"Watch","OK")))</x:f>
      </x:c>
    </x:row>
    <x:row r="619">
      <x:c r="A619" s="17" t="str">
        <x:f>IF(Students!A619="","",Students!A619)</x:f>
      </x:c>
      <x:c r="B619" s="17" t="str">
        <x:f>IF(A619="","",Students!F619)</x:f>
      </x:c>
      <x:c r="C619" s="17" t="str">
        <x:f>IF(A619="","",Students!G619)</x:f>
      </x:c>
      <x:c r="D619" s="17" t="str">
        <x:f>IF(A619="","",Students!H619)</x:f>
      </x:c>
      <x:c r="E619" s="22" t="str">
        <x:f>IF(A619="","",COUNTIFS(Late_Transactions!E:E,A619,Late_Transactions!K:K,"Recorded"))</x:f>
      </x:c>
      <x:c r="F619" s="21" t="n">
        <x:f>IFERROR(MAXIFS(Late_Transactions!C:C,Late_Transactions!E:E,A619,Late_Transactions!K:K,"Recorded"),"")</x:f>
        <x:v>0</x:v>
      </x:c>
      <x:c r="G619" s="17" t="str">
        <x:f>IF(E619="","",IF(E619&gt;=5,"High",IF(E619&gt;=3,"Watch","OK")))</x:f>
      </x:c>
    </x:row>
    <x:row r="620">
      <x:c r="A620" s="17" t="str">
        <x:f>IF(Students!A620="","",Students!A620)</x:f>
      </x:c>
      <x:c r="B620" s="17" t="str">
        <x:f>IF(A620="","",Students!F620)</x:f>
      </x:c>
      <x:c r="C620" s="17" t="str">
        <x:f>IF(A620="","",Students!G620)</x:f>
      </x:c>
      <x:c r="D620" s="17" t="str">
        <x:f>IF(A620="","",Students!H620)</x:f>
      </x:c>
      <x:c r="E620" s="22" t="str">
        <x:f>IF(A620="","",COUNTIFS(Late_Transactions!E:E,A620,Late_Transactions!K:K,"Recorded"))</x:f>
      </x:c>
      <x:c r="F620" s="21" t="n">
        <x:f>IFERROR(MAXIFS(Late_Transactions!C:C,Late_Transactions!E:E,A620,Late_Transactions!K:K,"Recorded"),"")</x:f>
        <x:v>0</x:v>
      </x:c>
      <x:c r="G620" s="17" t="str">
        <x:f>IF(E620="","",IF(E620&gt;=5,"High",IF(E620&gt;=3,"Watch","OK")))</x:f>
      </x:c>
    </x:row>
    <x:row r="621">
      <x:c r="A621" s="17" t="str">
        <x:f>IF(Students!A621="","",Students!A621)</x:f>
      </x:c>
      <x:c r="B621" s="17" t="str">
        <x:f>IF(A621="","",Students!F621)</x:f>
      </x:c>
      <x:c r="C621" s="17" t="str">
        <x:f>IF(A621="","",Students!G621)</x:f>
      </x:c>
      <x:c r="D621" s="17" t="str">
        <x:f>IF(A621="","",Students!H621)</x:f>
      </x:c>
      <x:c r="E621" s="22" t="str">
        <x:f>IF(A621="","",COUNTIFS(Late_Transactions!E:E,A621,Late_Transactions!K:K,"Recorded"))</x:f>
      </x:c>
      <x:c r="F621" s="21" t="n">
        <x:f>IFERROR(MAXIFS(Late_Transactions!C:C,Late_Transactions!E:E,A621,Late_Transactions!K:K,"Recorded"),"")</x:f>
        <x:v>0</x:v>
      </x:c>
      <x:c r="G621" s="17" t="str">
        <x:f>IF(E621="","",IF(E621&gt;=5,"High",IF(E621&gt;=3,"Watch","OK")))</x:f>
      </x:c>
    </x:row>
    <x:row r="622">
      <x:c r="A622" s="17" t="str">
        <x:f>IF(Students!A622="","",Students!A622)</x:f>
      </x:c>
      <x:c r="B622" s="17" t="str">
        <x:f>IF(A622="","",Students!F622)</x:f>
      </x:c>
      <x:c r="C622" s="17" t="str">
        <x:f>IF(A622="","",Students!G622)</x:f>
      </x:c>
      <x:c r="D622" s="17" t="str">
        <x:f>IF(A622="","",Students!H622)</x:f>
      </x:c>
      <x:c r="E622" s="22" t="str">
        <x:f>IF(A622="","",COUNTIFS(Late_Transactions!E:E,A622,Late_Transactions!K:K,"Recorded"))</x:f>
      </x:c>
      <x:c r="F622" s="21" t="n">
        <x:f>IFERROR(MAXIFS(Late_Transactions!C:C,Late_Transactions!E:E,A622,Late_Transactions!K:K,"Recorded"),"")</x:f>
        <x:v>0</x:v>
      </x:c>
      <x:c r="G622" s="17" t="str">
        <x:f>IF(E622="","",IF(E622&gt;=5,"High",IF(E622&gt;=3,"Watch","OK")))</x:f>
      </x:c>
    </x:row>
    <x:row r="623">
      <x:c r="A623" s="17" t="str">
        <x:f>IF(Students!A623="","",Students!A623)</x:f>
      </x:c>
      <x:c r="B623" s="17" t="str">
        <x:f>IF(A623="","",Students!F623)</x:f>
      </x:c>
      <x:c r="C623" s="17" t="str">
        <x:f>IF(A623="","",Students!G623)</x:f>
      </x:c>
      <x:c r="D623" s="17" t="str">
        <x:f>IF(A623="","",Students!H623)</x:f>
      </x:c>
      <x:c r="E623" s="22" t="str">
        <x:f>IF(A623="","",COUNTIFS(Late_Transactions!E:E,A623,Late_Transactions!K:K,"Recorded"))</x:f>
      </x:c>
      <x:c r="F623" s="21" t="n">
        <x:f>IFERROR(MAXIFS(Late_Transactions!C:C,Late_Transactions!E:E,A623,Late_Transactions!K:K,"Recorded"),"")</x:f>
        <x:v>0</x:v>
      </x:c>
      <x:c r="G623" s="17" t="str">
        <x:f>IF(E623="","",IF(E623&gt;=5,"High",IF(E623&gt;=3,"Watch","OK")))</x:f>
      </x:c>
    </x:row>
    <x:row r="624">
      <x:c r="A624" s="17" t="str">
        <x:f>IF(Students!A624="","",Students!A624)</x:f>
      </x:c>
      <x:c r="B624" s="17" t="str">
        <x:f>IF(A624="","",Students!F624)</x:f>
      </x:c>
      <x:c r="C624" s="17" t="str">
        <x:f>IF(A624="","",Students!G624)</x:f>
      </x:c>
      <x:c r="D624" s="17" t="str">
        <x:f>IF(A624="","",Students!H624)</x:f>
      </x:c>
      <x:c r="E624" s="22" t="str">
        <x:f>IF(A624="","",COUNTIFS(Late_Transactions!E:E,A624,Late_Transactions!K:K,"Recorded"))</x:f>
      </x:c>
      <x:c r="F624" s="21" t="n">
        <x:f>IFERROR(MAXIFS(Late_Transactions!C:C,Late_Transactions!E:E,A624,Late_Transactions!K:K,"Recorded"),"")</x:f>
        <x:v>0</x:v>
      </x:c>
      <x:c r="G624" s="17" t="str">
        <x:f>IF(E624="","",IF(E624&gt;=5,"High",IF(E624&gt;=3,"Watch","OK")))</x:f>
      </x:c>
    </x:row>
    <x:row r="625">
      <x:c r="A625" s="17" t="str">
        <x:f>IF(Students!A625="","",Students!A625)</x:f>
      </x:c>
      <x:c r="B625" s="17" t="str">
        <x:f>IF(A625="","",Students!F625)</x:f>
      </x:c>
      <x:c r="C625" s="17" t="str">
        <x:f>IF(A625="","",Students!G625)</x:f>
      </x:c>
      <x:c r="D625" s="17" t="str">
        <x:f>IF(A625="","",Students!H625)</x:f>
      </x:c>
      <x:c r="E625" s="22" t="str">
        <x:f>IF(A625="","",COUNTIFS(Late_Transactions!E:E,A625,Late_Transactions!K:K,"Recorded"))</x:f>
      </x:c>
      <x:c r="F625" s="21" t="n">
        <x:f>IFERROR(MAXIFS(Late_Transactions!C:C,Late_Transactions!E:E,A625,Late_Transactions!K:K,"Recorded"),"")</x:f>
        <x:v>0</x:v>
      </x:c>
      <x:c r="G625" s="17" t="str">
        <x:f>IF(E625="","",IF(E625&gt;=5,"High",IF(E625&gt;=3,"Watch","OK")))</x:f>
      </x:c>
    </x:row>
    <x:row r="626">
      <x:c r="A626" s="17" t="str">
        <x:f>IF(Students!A626="","",Students!A626)</x:f>
      </x:c>
      <x:c r="B626" s="17" t="str">
        <x:f>IF(A626="","",Students!F626)</x:f>
      </x:c>
      <x:c r="C626" s="17" t="str">
        <x:f>IF(A626="","",Students!G626)</x:f>
      </x:c>
      <x:c r="D626" s="17" t="str">
        <x:f>IF(A626="","",Students!H626)</x:f>
      </x:c>
      <x:c r="E626" s="22" t="str">
        <x:f>IF(A626="","",COUNTIFS(Late_Transactions!E:E,A626,Late_Transactions!K:K,"Recorded"))</x:f>
      </x:c>
      <x:c r="F626" s="21" t="n">
        <x:f>IFERROR(MAXIFS(Late_Transactions!C:C,Late_Transactions!E:E,A626,Late_Transactions!K:K,"Recorded"),"")</x:f>
        <x:v>0</x:v>
      </x:c>
      <x:c r="G626" s="17" t="str">
        <x:f>IF(E626="","",IF(E626&gt;=5,"High",IF(E626&gt;=3,"Watch","OK")))</x:f>
      </x:c>
    </x:row>
    <x:row r="627">
      <x:c r="A627" s="17" t="str">
        <x:f>IF(Students!A627="","",Students!A627)</x:f>
      </x:c>
      <x:c r="B627" s="17" t="str">
        <x:f>IF(A627="","",Students!F627)</x:f>
      </x:c>
      <x:c r="C627" s="17" t="str">
        <x:f>IF(A627="","",Students!G627)</x:f>
      </x:c>
      <x:c r="D627" s="17" t="str">
        <x:f>IF(A627="","",Students!H627)</x:f>
      </x:c>
      <x:c r="E627" s="22" t="str">
        <x:f>IF(A627="","",COUNTIFS(Late_Transactions!E:E,A627,Late_Transactions!K:K,"Recorded"))</x:f>
      </x:c>
      <x:c r="F627" s="21" t="n">
        <x:f>IFERROR(MAXIFS(Late_Transactions!C:C,Late_Transactions!E:E,A627,Late_Transactions!K:K,"Recorded"),"")</x:f>
        <x:v>0</x:v>
      </x:c>
      <x:c r="G627" s="17" t="str">
        <x:f>IF(E627="","",IF(E627&gt;=5,"High",IF(E627&gt;=3,"Watch","OK")))</x:f>
      </x:c>
    </x:row>
    <x:row r="628">
      <x:c r="A628" s="17" t="str">
        <x:f>IF(Students!A628="","",Students!A628)</x:f>
      </x:c>
      <x:c r="B628" s="17" t="str">
        <x:f>IF(A628="","",Students!F628)</x:f>
      </x:c>
      <x:c r="C628" s="17" t="str">
        <x:f>IF(A628="","",Students!G628)</x:f>
      </x:c>
      <x:c r="D628" s="17" t="str">
        <x:f>IF(A628="","",Students!H628)</x:f>
      </x:c>
      <x:c r="E628" s="22" t="str">
        <x:f>IF(A628="","",COUNTIFS(Late_Transactions!E:E,A628,Late_Transactions!K:K,"Recorded"))</x:f>
      </x:c>
      <x:c r="F628" s="21" t="n">
        <x:f>IFERROR(MAXIFS(Late_Transactions!C:C,Late_Transactions!E:E,A628,Late_Transactions!K:K,"Recorded"),"")</x:f>
        <x:v>0</x:v>
      </x:c>
      <x:c r="G628" s="17" t="str">
        <x:f>IF(E628="","",IF(E628&gt;=5,"High",IF(E628&gt;=3,"Watch","OK")))</x:f>
      </x:c>
    </x:row>
    <x:row r="629">
      <x:c r="A629" s="17" t="str">
        <x:f>IF(Students!A629="","",Students!A629)</x:f>
      </x:c>
      <x:c r="B629" s="17" t="str">
        <x:f>IF(A629="","",Students!F629)</x:f>
      </x:c>
      <x:c r="C629" s="17" t="str">
        <x:f>IF(A629="","",Students!G629)</x:f>
      </x:c>
      <x:c r="D629" s="17" t="str">
        <x:f>IF(A629="","",Students!H629)</x:f>
      </x:c>
      <x:c r="E629" s="22" t="str">
        <x:f>IF(A629="","",COUNTIFS(Late_Transactions!E:E,A629,Late_Transactions!K:K,"Recorded"))</x:f>
      </x:c>
      <x:c r="F629" s="21" t="n">
        <x:f>IFERROR(MAXIFS(Late_Transactions!C:C,Late_Transactions!E:E,A629,Late_Transactions!K:K,"Recorded"),"")</x:f>
        <x:v>0</x:v>
      </x:c>
      <x:c r="G629" s="17" t="str">
        <x:f>IF(E629="","",IF(E629&gt;=5,"High",IF(E629&gt;=3,"Watch","OK")))</x:f>
      </x:c>
    </x:row>
    <x:row r="630">
      <x:c r="A630" s="17" t="str">
        <x:f>IF(Students!A630="","",Students!A630)</x:f>
      </x:c>
      <x:c r="B630" s="17" t="str">
        <x:f>IF(A630="","",Students!F630)</x:f>
      </x:c>
      <x:c r="C630" s="17" t="str">
        <x:f>IF(A630="","",Students!G630)</x:f>
      </x:c>
      <x:c r="D630" s="17" t="str">
        <x:f>IF(A630="","",Students!H630)</x:f>
      </x:c>
      <x:c r="E630" s="22" t="str">
        <x:f>IF(A630="","",COUNTIFS(Late_Transactions!E:E,A630,Late_Transactions!K:K,"Recorded"))</x:f>
      </x:c>
      <x:c r="F630" s="21" t="n">
        <x:f>IFERROR(MAXIFS(Late_Transactions!C:C,Late_Transactions!E:E,A630,Late_Transactions!K:K,"Recorded"),"")</x:f>
        <x:v>0</x:v>
      </x:c>
      <x:c r="G630" s="17" t="str">
        <x:f>IF(E630="","",IF(E630&gt;=5,"High",IF(E630&gt;=3,"Watch","OK")))</x:f>
      </x:c>
    </x:row>
    <x:row r="631">
      <x:c r="A631" s="17" t="str">
        <x:f>IF(Students!A631="","",Students!A631)</x:f>
      </x:c>
      <x:c r="B631" s="17" t="str">
        <x:f>IF(A631="","",Students!F631)</x:f>
      </x:c>
      <x:c r="C631" s="17" t="str">
        <x:f>IF(A631="","",Students!G631)</x:f>
      </x:c>
      <x:c r="D631" s="17" t="str">
        <x:f>IF(A631="","",Students!H631)</x:f>
      </x:c>
      <x:c r="E631" s="22" t="str">
        <x:f>IF(A631="","",COUNTIFS(Late_Transactions!E:E,A631,Late_Transactions!K:K,"Recorded"))</x:f>
      </x:c>
      <x:c r="F631" s="21" t="n">
        <x:f>IFERROR(MAXIFS(Late_Transactions!C:C,Late_Transactions!E:E,A631,Late_Transactions!K:K,"Recorded"),"")</x:f>
        <x:v>0</x:v>
      </x:c>
      <x:c r="G631" s="17" t="str">
        <x:f>IF(E631="","",IF(E631&gt;=5,"High",IF(E631&gt;=3,"Watch","OK")))</x:f>
      </x:c>
    </x:row>
    <x:row r="632">
      <x:c r="A632" s="17" t="str">
        <x:f>IF(Students!A632="","",Students!A632)</x:f>
      </x:c>
      <x:c r="B632" s="17" t="str">
        <x:f>IF(A632="","",Students!F632)</x:f>
      </x:c>
      <x:c r="C632" s="17" t="str">
        <x:f>IF(A632="","",Students!G632)</x:f>
      </x:c>
      <x:c r="D632" s="17" t="str">
        <x:f>IF(A632="","",Students!H632)</x:f>
      </x:c>
      <x:c r="E632" s="22" t="str">
        <x:f>IF(A632="","",COUNTIFS(Late_Transactions!E:E,A632,Late_Transactions!K:K,"Recorded"))</x:f>
      </x:c>
      <x:c r="F632" s="21" t="n">
        <x:f>IFERROR(MAXIFS(Late_Transactions!C:C,Late_Transactions!E:E,A632,Late_Transactions!K:K,"Recorded"),"")</x:f>
        <x:v>0</x:v>
      </x:c>
      <x:c r="G632" s="17" t="str">
        <x:f>IF(E632="","",IF(E632&gt;=5,"High",IF(E632&gt;=3,"Watch","OK")))</x:f>
      </x:c>
    </x:row>
    <x:row r="633">
      <x:c r="A633" s="17" t="str">
        <x:f>IF(Students!A633="","",Students!A633)</x:f>
      </x:c>
      <x:c r="B633" s="17" t="str">
        <x:f>IF(A633="","",Students!F633)</x:f>
      </x:c>
      <x:c r="C633" s="17" t="str">
        <x:f>IF(A633="","",Students!G633)</x:f>
      </x:c>
      <x:c r="D633" s="17" t="str">
        <x:f>IF(A633="","",Students!H633)</x:f>
      </x:c>
      <x:c r="E633" s="22" t="str">
        <x:f>IF(A633="","",COUNTIFS(Late_Transactions!E:E,A633,Late_Transactions!K:K,"Recorded"))</x:f>
      </x:c>
      <x:c r="F633" s="21" t="n">
        <x:f>IFERROR(MAXIFS(Late_Transactions!C:C,Late_Transactions!E:E,A633,Late_Transactions!K:K,"Recorded"),"")</x:f>
        <x:v>0</x:v>
      </x:c>
      <x:c r="G633" s="17" t="str">
        <x:f>IF(E633="","",IF(E633&gt;=5,"High",IF(E633&gt;=3,"Watch","OK")))</x:f>
      </x:c>
    </x:row>
    <x:row r="634">
      <x:c r="A634" s="17" t="str">
        <x:f>IF(Students!A634="","",Students!A634)</x:f>
      </x:c>
      <x:c r="B634" s="17" t="str">
        <x:f>IF(A634="","",Students!F634)</x:f>
      </x:c>
      <x:c r="C634" s="17" t="str">
        <x:f>IF(A634="","",Students!G634)</x:f>
      </x:c>
      <x:c r="D634" s="17" t="str">
        <x:f>IF(A634="","",Students!H634)</x:f>
      </x:c>
      <x:c r="E634" s="22" t="str">
        <x:f>IF(A634="","",COUNTIFS(Late_Transactions!E:E,A634,Late_Transactions!K:K,"Recorded"))</x:f>
      </x:c>
      <x:c r="F634" s="21" t="n">
        <x:f>IFERROR(MAXIFS(Late_Transactions!C:C,Late_Transactions!E:E,A634,Late_Transactions!K:K,"Recorded"),"")</x:f>
        <x:v>0</x:v>
      </x:c>
      <x:c r="G634" s="17" t="str">
        <x:f>IF(E634="","",IF(E634&gt;=5,"High",IF(E634&gt;=3,"Watch","OK")))</x:f>
      </x:c>
    </x:row>
    <x:row r="635">
      <x:c r="A635" s="17" t="str">
        <x:f>IF(Students!A635="","",Students!A635)</x:f>
      </x:c>
      <x:c r="B635" s="17" t="str">
        <x:f>IF(A635="","",Students!F635)</x:f>
      </x:c>
      <x:c r="C635" s="17" t="str">
        <x:f>IF(A635="","",Students!G635)</x:f>
      </x:c>
      <x:c r="D635" s="17" t="str">
        <x:f>IF(A635="","",Students!H635)</x:f>
      </x:c>
      <x:c r="E635" s="22" t="str">
        <x:f>IF(A635="","",COUNTIFS(Late_Transactions!E:E,A635,Late_Transactions!K:K,"Recorded"))</x:f>
      </x:c>
      <x:c r="F635" s="21" t="n">
        <x:f>IFERROR(MAXIFS(Late_Transactions!C:C,Late_Transactions!E:E,A635,Late_Transactions!K:K,"Recorded"),"")</x:f>
        <x:v>0</x:v>
      </x:c>
      <x:c r="G635" s="17" t="str">
        <x:f>IF(E635="","",IF(E635&gt;=5,"High",IF(E635&gt;=3,"Watch","OK")))</x:f>
      </x:c>
    </x:row>
    <x:row r="636">
      <x:c r="A636" s="17" t="str">
        <x:f>IF(Students!A636="","",Students!A636)</x:f>
      </x:c>
      <x:c r="B636" s="17" t="str">
        <x:f>IF(A636="","",Students!F636)</x:f>
      </x:c>
      <x:c r="C636" s="17" t="str">
        <x:f>IF(A636="","",Students!G636)</x:f>
      </x:c>
      <x:c r="D636" s="17" t="str">
        <x:f>IF(A636="","",Students!H636)</x:f>
      </x:c>
      <x:c r="E636" s="22" t="str">
        <x:f>IF(A636="","",COUNTIFS(Late_Transactions!E:E,A636,Late_Transactions!K:K,"Recorded"))</x:f>
      </x:c>
      <x:c r="F636" s="21" t="n">
        <x:f>IFERROR(MAXIFS(Late_Transactions!C:C,Late_Transactions!E:E,A636,Late_Transactions!K:K,"Recorded"),"")</x:f>
        <x:v>0</x:v>
      </x:c>
      <x:c r="G636" s="17" t="str">
        <x:f>IF(E636="","",IF(E636&gt;=5,"High",IF(E636&gt;=3,"Watch","OK")))</x:f>
      </x:c>
    </x:row>
    <x:row r="637">
      <x:c r="A637" s="17" t="str">
        <x:f>IF(Students!A637="","",Students!A637)</x:f>
      </x:c>
      <x:c r="B637" s="17" t="str">
        <x:f>IF(A637="","",Students!F637)</x:f>
      </x:c>
      <x:c r="C637" s="17" t="str">
        <x:f>IF(A637="","",Students!G637)</x:f>
      </x:c>
      <x:c r="D637" s="17" t="str">
        <x:f>IF(A637="","",Students!H637)</x:f>
      </x:c>
      <x:c r="E637" s="22" t="str">
        <x:f>IF(A637="","",COUNTIFS(Late_Transactions!E:E,A637,Late_Transactions!K:K,"Recorded"))</x:f>
      </x:c>
      <x:c r="F637" s="21" t="n">
        <x:f>IFERROR(MAXIFS(Late_Transactions!C:C,Late_Transactions!E:E,A637,Late_Transactions!K:K,"Recorded"),"")</x:f>
        <x:v>0</x:v>
      </x:c>
      <x:c r="G637" s="17" t="str">
        <x:f>IF(E637="","",IF(E637&gt;=5,"High",IF(E637&gt;=3,"Watch","OK")))</x:f>
      </x:c>
    </x:row>
    <x:row r="638">
      <x:c r="A638" s="17" t="str">
        <x:f>IF(Students!A638="","",Students!A638)</x:f>
      </x:c>
      <x:c r="B638" s="17" t="str">
        <x:f>IF(A638="","",Students!F638)</x:f>
      </x:c>
      <x:c r="C638" s="17" t="str">
        <x:f>IF(A638="","",Students!G638)</x:f>
      </x:c>
      <x:c r="D638" s="17" t="str">
        <x:f>IF(A638="","",Students!H638)</x:f>
      </x:c>
      <x:c r="E638" s="22" t="str">
        <x:f>IF(A638="","",COUNTIFS(Late_Transactions!E:E,A638,Late_Transactions!K:K,"Recorded"))</x:f>
      </x:c>
      <x:c r="F638" s="21" t="n">
        <x:f>IFERROR(MAXIFS(Late_Transactions!C:C,Late_Transactions!E:E,A638,Late_Transactions!K:K,"Recorded"),"")</x:f>
        <x:v>0</x:v>
      </x:c>
      <x:c r="G638" s="17" t="str">
        <x:f>IF(E638="","",IF(E638&gt;=5,"High",IF(E638&gt;=3,"Watch","OK")))</x:f>
      </x:c>
    </x:row>
    <x:row r="639">
      <x:c r="A639" s="17" t="str">
        <x:f>IF(Students!A639="","",Students!A639)</x:f>
      </x:c>
      <x:c r="B639" s="17" t="str">
        <x:f>IF(A639="","",Students!F639)</x:f>
      </x:c>
      <x:c r="C639" s="17" t="str">
        <x:f>IF(A639="","",Students!G639)</x:f>
      </x:c>
      <x:c r="D639" s="17" t="str">
        <x:f>IF(A639="","",Students!H639)</x:f>
      </x:c>
      <x:c r="E639" s="22" t="str">
        <x:f>IF(A639="","",COUNTIFS(Late_Transactions!E:E,A639,Late_Transactions!K:K,"Recorded"))</x:f>
      </x:c>
      <x:c r="F639" s="21" t="n">
        <x:f>IFERROR(MAXIFS(Late_Transactions!C:C,Late_Transactions!E:E,A639,Late_Transactions!K:K,"Recorded"),"")</x:f>
        <x:v>0</x:v>
      </x:c>
      <x:c r="G639" s="17" t="str">
        <x:f>IF(E639="","",IF(E639&gt;=5,"High",IF(E639&gt;=3,"Watch","OK")))</x:f>
      </x:c>
    </x:row>
    <x:row r="640">
      <x:c r="A640" s="17" t="str">
        <x:f>IF(Students!A640="","",Students!A640)</x:f>
      </x:c>
      <x:c r="B640" s="17" t="str">
        <x:f>IF(A640="","",Students!F640)</x:f>
      </x:c>
      <x:c r="C640" s="17" t="str">
        <x:f>IF(A640="","",Students!G640)</x:f>
      </x:c>
      <x:c r="D640" s="17" t="str">
        <x:f>IF(A640="","",Students!H640)</x:f>
      </x:c>
      <x:c r="E640" s="22" t="str">
        <x:f>IF(A640="","",COUNTIFS(Late_Transactions!E:E,A640,Late_Transactions!K:K,"Recorded"))</x:f>
      </x:c>
      <x:c r="F640" s="21" t="n">
        <x:f>IFERROR(MAXIFS(Late_Transactions!C:C,Late_Transactions!E:E,A640,Late_Transactions!K:K,"Recorded"),"")</x:f>
        <x:v>0</x:v>
      </x:c>
      <x:c r="G640" s="17" t="str">
        <x:f>IF(E640="","",IF(E640&gt;=5,"High",IF(E640&gt;=3,"Watch","OK")))</x:f>
      </x:c>
    </x:row>
    <x:row r="641">
      <x:c r="A641" s="17" t="str">
        <x:f>IF(Students!A641="","",Students!A641)</x:f>
      </x:c>
      <x:c r="B641" s="17" t="str">
        <x:f>IF(A641="","",Students!F641)</x:f>
      </x:c>
      <x:c r="C641" s="17" t="str">
        <x:f>IF(A641="","",Students!G641)</x:f>
      </x:c>
      <x:c r="D641" s="17" t="str">
        <x:f>IF(A641="","",Students!H641)</x:f>
      </x:c>
      <x:c r="E641" s="22" t="str">
        <x:f>IF(A641="","",COUNTIFS(Late_Transactions!E:E,A641,Late_Transactions!K:K,"Recorded"))</x:f>
      </x:c>
      <x:c r="F641" s="21" t="n">
        <x:f>IFERROR(MAXIFS(Late_Transactions!C:C,Late_Transactions!E:E,A641,Late_Transactions!K:K,"Recorded"),"")</x:f>
        <x:v>0</x:v>
      </x:c>
      <x:c r="G641" s="17" t="str">
        <x:f>IF(E641="","",IF(E641&gt;=5,"High",IF(E641&gt;=3,"Watch","OK")))</x:f>
      </x:c>
    </x:row>
    <x:row r="642">
      <x:c r="A642" s="17" t="str">
        <x:f>IF(Students!A642="","",Students!A642)</x:f>
      </x:c>
      <x:c r="B642" s="17" t="str">
        <x:f>IF(A642="","",Students!F642)</x:f>
      </x:c>
      <x:c r="C642" s="17" t="str">
        <x:f>IF(A642="","",Students!G642)</x:f>
      </x:c>
      <x:c r="D642" s="17" t="str">
        <x:f>IF(A642="","",Students!H642)</x:f>
      </x:c>
      <x:c r="E642" s="22" t="str">
        <x:f>IF(A642="","",COUNTIFS(Late_Transactions!E:E,A642,Late_Transactions!K:K,"Recorded"))</x:f>
      </x:c>
      <x:c r="F642" s="21" t="n">
        <x:f>IFERROR(MAXIFS(Late_Transactions!C:C,Late_Transactions!E:E,A642,Late_Transactions!K:K,"Recorded"),"")</x:f>
        <x:v>0</x:v>
      </x:c>
      <x:c r="G642" s="17" t="str">
        <x:f>IF(E642="","",IF(E642&gt;=5,"High",IF(E642&gt;=3,"Watch","OK")))</x:f>
      </x:c>
    </x:row>
    <x:row r="643">
      <x:c r="A643" s="17" t="str">
        <x:f>IF(Students!A643="","",Students!A643)</x:f>
      </x:c>
      <x:c r="B643" s="17" t="str">
        <x:f>IF(A643="","",Students!F643)</x:f>
      </x:c>
      <x:c r="C643" s="17" t="str">
        <x:f>IF(A643="","",Students!G643)</x:f>
      </x:c>
      <x:c r="D643" s="17" t="str">
        <x:f>IF(A643="","",Students!H643)</x:f>
      </x:c>
      <x:c r="E643" s="22" t="str">
        <x:f>IF(A643="","",COUNTIFS(Late_Transactions!E:E,A643,Late_Transactions!K:K,"Recorded"))</x:f>
      </x:c>
      <x:c r="F643" s="21" t="n">
        <x:f>IFERROR(MAXIFS(Late_Transactions!C:C,Late_Transactions!E:E,A643,Late_Transactions!K:K,"Recorded"),"")</x:f>
        <x:v>0</x:v>
      </x:c>
      <x:c r="G643" s="17" t="str">
        <x:f>IF(E643="","",IF(E643&gt;=5,"High",IF(E643&gt;=3,"Watch","OK")))</x:f>
      </x:c>
    </x:row>
    <x:row r="644">
      <x:c r="A644" s="17" t="str">
        <x:f>IF(Students!A644="","",Students!A644)</x:f>
      </x:c>
      <x:c r="B644" s="17" t="str">
        <x:f>IF(A644="","",Students!F644)</x:f>
      </x:c>
      <x:c r="C644" s="17" t="str">
        <x:f>IF(A644="","",Students!G644)</x:f>
      </x:c>
      <x:c r="D644" s="17" t="str">
        <x:f>IF(A644="","",Students!H644)</x:f>
      </x:c>
      <x:c r="E644" s="22" t="str">
        <x:f>IF(A644="","",COUNTIFS(Late_Transactions!E:E,A644,Late_Transactions!K:K,"Recorded"))</x:f>
      </x:c>
      <x:c r="F644" s="21" t="n">
        <x:f>IFERROR(MAXIFS(Late_Transactions!C:C,Late_Transactions!E:E,A644,Late_Transactions!K:K,"Recorded"),"")</x:f>
        <x:v>0</x:v>
      </x:c>
      <x:c r="G644" s="17" t="str">
        <x:f>IF(E644="","",IF(E644&gt;=5,"High",IF(E644&gt;=3,"Watch","OK")))</x:f>
      </x:c>
    </x:row>
    <x:row r="645">
      <x:c r="A645" s="17" t="str">
        <x:f>IF(Students!A645="","",Students!A645)</x:f>
      </x:c>
      <x:c r="B645" s="17" t="str">
        <x:f>IF(A645="","",Students!F645)</x:f>
      </x:c>
      <x:c r="C645" s="17" t="str">
        <x:f>IF(A645="","",Students!G645)</x:f>
      </x:c>
      <x:c r="D645" s="17" t="str">
        <x:f>IF(A645="","",Students!H645)</x:f>
      </x:c>
      <x:c r="E645" s="22" t="str">
        <x:f>IF(A645="","",COUNTIFS(Late_Transactions!E:E,A645,Late_Transactions!K:K,"Recorded"))</x:f>
      </x:c>
      <x:c r="F645" s="21" t="n">
        <x:f>IFERROR(MAXIFS(Late_Transactions!C:C,Late_Transactions!E:E,A645,Late_Transactions!K:K,"Recorded"),"")</x:f>
        <x:v>0</x:v>
      </x:c>
      <x:c r="G645" s="17" t="str">
        <x:f>IF(E645="","",IF(E645&gt;=5,"High",IF(E645&gt;=3,"Watch","OK")))</x:f>
      </x:c>
    </x:row>
    <x:row r="646">
      <x:c r="A646" s="17" t="str">
        <x:f>IF(Students!A646="","",Students!A646)</x:f>
      </x:c>
      <x:c r="B646" s="17" t="str">
        <x:f>IF(A646="","",Students!F646)</x:f>
      </x:c>
      <x:c r="C646" s="17" t="str">
        <x:f>IF(A646="","",Students!G646)</x:f>
      </x:c>
      <x:c r="D646" s="17" t="str">
        <x:f>IF(A646="","",Students!H646)</x:f>
      </x:c>
      <x:c r="E646" s="22" t="str">
        <x:f>IF(A646="","",COUNTIFS(Late_Transactions!E:E,A646,Late_Transactions!K:K,"Recorded"))</x:f>
      </x:c>
      <x:c r="F646" s="21" t="n">
        <x:f>IFERROR(MAXIFS(Late_Transactions!C:C,Late_Transactions!E:E,A646,Late_Transactions!K:K,"Recorded"),"")</x:f>
        <x:v>0</x:v>
      </x:c>
      <x:c r="G646" s="17" t="str">
        <x:f>IF(E646="","",IF(E646&gt;=5,"High",IF(E646&gt;=3,"Watch","OK")))</x:f>
      </x:c>
    </x:row>
    <x:row r="647">
      <x:c r="A647" s="17" t="str">
        <x:f>IF(Students!A647="","",Students!A647)</x:f>
      </x:c>
      <x:c r="B647" s="17" t="str">
        <x:f>IF(A647="","",Students!F647)</x:f>
      </x:c>
      <x:c r="C647" s="17" t="str">
        <x:f>IF(A647="","",Students!G647)</x:f>
      </x:c>
      <x:c r="D647" s="17" t="str">
        <x:f>IF(A647="","",Students!H647)</x:f>
      </x:c>
      <x:c r="E647" s="22" t="str">
        <x:f>IF(A647="","",COUNTIFS(Late_Transactions!E:E,A647,Late_Transactions!K:K,"Recorded"))</x:f>
      </x:c>
      <x:c r="F647" s="21" t="n">
        <x:f>IFERROR(MAXIFS(Late_Transactions!C:C,Late_Transactions!E:E,A647,Late_Transactions!K:K,"Recorded"),"")</x:f>
        <x:v>0</x:v>
      </x:c>
      <x:c r="G647" s="17" t="str">
        <x:f>IF(E647="","",IF(E647&gt;=5,"High",IF(E647&gt;=3,"Watch","OK")))</x:f>
      </x:c>
    </x:row>
    <x:row r="648">
      <x:c r="A648" s="17" t="str">
        <x:f>IF(Students!A648="","",Students!A648)</x:f>
      </x:c>
      <x:c r="B648" s="17" t="str">
        <x:f>IF(A648="","",Students!F648)</x:f>
      </x:c>
      <x:c r="C648" s="17" t="str">
        <x:f>IF(A648="","",Students!G648)</x:f>
      </x:c>
      <x:c r="D648" s="17" t="str">
        <x:f>IF(A648="","",Students!H648)</x:f>
      </x:c>
      <x:c r="E648" s="22" t="str">
        <x:f>IF(A648="","",COUNTIFS(Late_Transactions!E:E,A648,Late_Transactions!K:K,"Recorded"))</x:f>
      </x:c>
      <x:c r="F648" s="21" t="n">
        <x:f>IFERROR(MAXIFS(Late_Transactions!C:C,Late_Transactions!E:E,A648,Late_Transactions!K:K,"Recorded"),"")</x:f>
        <x:v>0</x:v>
      </x:c>
      <x:c r="G648" s="17" t="str">
        <x:f>IF(E648="","",IF(E648&gt;=5,"High",IF(E648&gt;=3,"Watch","OK")))</x:f>
      </x:c>
    </x:row>
    <x:row r="649">
      <x:c r="A649" s="17" t="str">
        <x:f>IF(Students!A649="","",Students!A649)</x:f>
      </x:c>
      <x:c r="B649" s="17" t="str">
        <x:f>IF(A649="","",Students!F649)</x:f>
      </x:c>
      <x:c r="C649" s="17" t="str">
        <x:f>IF(A649="","",Students!G649)</x:f>
      </x:c>
      <x:c r="D649" s="17" t="str">
        <x:f>IF(A649="","",Students!H649)</x:f>
      </x:c>
      <x:c r="E649" s="22" t="str">
        <x:f>IF(A649="","",COUNTIFS(Late_Transactions!E:E,A649,Late_Transactions!K:K,"Recorded"))</x:f>
      </x:c>
      <x:c r="F649" s="21" t="n">
        <x:f>IFERROR(MAXIFS(Late_Transactions!C:C,Late_Transactions!E:E,A649,Late_Transactions!K:K,"Recorded"),"")</x:f>
        <x:v>0</x:v>
      </x:c>
      <x:c r="G649" s="17" t="str">
        <x:f>IF(E649="","",IF(E649&gt;=5,"High",IF(E649&gt;=3,"Watch","OK")))</x:f>
      </x:c>
    </x:row>
    <x:row r="650">
      <x:c r="A650" s="17" t="str">
        <x:f>IF(Students!A650="","",Students!A650)</x:f>
      </x:c>
      <x:c r="B650" s="17" t="str">
        <x:f>IF(A650="","",Students!F650)</x:f>
      </x:c>
      <x:c r="C650" s="17" t="str">
        <x:f>IF(A650="","",Students!G650)</x:f>
      </x:c>
      <x:c r="D650" s="17" t="str">
        <x:f>IF(A650="","",Students!H650)</x:f>
      </x:c>
      <x:c r="E650" s="22" t="str">
        <x:f>IF(A650="","",COUNTIFS(Late_Transactions!E:E,A650,Late_Transactions!K:K,"Recorded"))</x:f>
      </x:c>
      <x:c r="F650" s="21" t="n">
        <x:f>IFERROR(MAXIFS(Late_Transactions!C:C,Late_Transactions!E:E,A650,Late_Transactions!K:K,"Recorded"),"")</x:f>
        <x:v>0</x:v>
      </x:c>
      <x:c r="G650" s="17" t="str">
        <x:f>IF(E650="","",IF(E650&gt;=5,"High",IF(E650&gt;=3,"Watch","OK")))</x:f>
      </x:c>
    </x:row>
    <x:row r="651">
      <x:c r="A651" s="17" t="str">
        <x:f>IF(Students!A651="","",Students!A651)</x:f>
      </x:c>
      <x:c r="B651" s="17" t="str">
        <x:f>IF(A651="","",Students!F651)</x:f>
      </x:c>
      <x:c r="C651" s="17" t="str">
        <x:f>IF(A651="","",Students!G651)</x:f>
      </x:c>
      <x:c r="D651" s="17" t="str">
        <x:f>IF(A651="","",Students!H651)</x:f>
      </x:c>
      <x:c r="E651" s="22" t="str">
        <x:f>IF(A651="","",COUNTIFS(Late_Transactions!E:E,A651,Late_Transactions!K:K,"Recorded"))</x:f>
      </x:c>
      <x:c r="F651" s="21" t="n">
        <x:f>IFERROR(MAXIFS(Late_Transactions!C:C,Late_Transactions!E:E,A651,Late_Transactions!K:K,"Recorded"),"")</x:f>
        <x:v>0</x:v>
      </x:c>
      <x:c r="G651" s="17" t="str">
        <x:f>IF(E651="","",IF(E651&gt;=5,"High",IF(E651&gt;=3,"Watch","OK")))</x:f>
      </x:c>
    </x:row>
    <x:row r="652">
      <x:c r="A652" s="17" t="str">
        <x:f>IF(Students!A652="","",Students!A652)</x:f>
      </x:c>
      <x:c r="B652" s="17" t="str">
        <x:f>IF(A652="","",Students!F652)</x:f>
      </x:c>
      <x:c r="C652" s="17" t="str">
        <x:f>IF(A652="","",Students!G652)</x:f>
      </x:c>
      <x:c r="D652" s="17" t="str">
        <x:f>IF(A652="","",Students!H652)</x:f>
      </x:c>
      <x:c r="E652" s="22" t="str">
        <x:f>IF(A652="","",COUNTIFS(Late_Transactions!E:E,A652,Late_Transactions!K:K,"Recorded"))</x:f>
      </x:c>
      <x:c r="F652" s="21" t="n">
        <x:f>IFERROR(MAXIFS(Late_Transactions!C:C,Late_Transactions!E:E,A652,Late_Transactions!K:K,"Recorded"),"")</x:f>
        <x:v>0</x:v>
      </x:c>
      <x:c r="G652" s="17" t="str">
        <x:f>IF(E652="","",IF(E652&gt;=5,"High",IF(E652&gt;=3,"Watch","OK")))</x:f>
      </x:c>
    </x:row>
    <x:row r="653">
      <x:c r="A653" s="17" t="str">
        <x:f>IF(Students!A653="","",Students!A653)</x:f>
      </x:c>
      <x:c r="B653" s="17" t="str">
        <x:f>IF(A653="","",Students!F653)</x:f>
      </x:c>
      <x:c r="C653" s="17" t="str">
        <x:f>IF(A653="","",Students!G653)</x:f>
      </x:c>
      <x:c r="D653" s="17" t="str">
        <x:f>IF(A653="","",Students!H653)</x:f>
      </x:c>
      <x:c r="E653" s="22" t="str">
        <x:f>IF(A653="","",COUNTIFS(Late_Transactions!E:E,A653,Late_Transactions!K:K,"Recorded"))</x:f>
      </x:c>
      <x:c r="F653" s="21" t="n">
        <x:f>IFERROR(MAXIFS(Late_Transactions!C:C,Late_Transactions!E:E,A653,Late_Transactions!K:K,"Recorded"),"")</x:f>
        <x:v>0</x:v>
      </x:c>
      <x:c r="G653" s="17" t="str">
        <x:f>IF(E653="","",IF(E653&gt;=5,"High",IF(E653&gt;=3,"Watch","OK")))</x:f>
      </x:c>
    </x:row>
    <x:row r="654">
      <x:c r="A654" s="17" t="str">
        <x:f>IF(Students!A654="","",Students!A654)</x:f>
      </x:c>
      <x:c r="B654" s="17" t="str">
        <x:f>IF(A654="","",Students!F654)</x:f>
      </x:c>
      <x:c r="C654" s="17" t="str">
        <x:f>IF(A654="","",Students!G654)</x:f>
      </x:c>
      <x:c r="D654" s="17" t="str">
        <x:f>IF(A654="","",Students!H654)</x:f>
      </x:c>
      <x:c r="E654" s="22" t="str">
        <x:f>IF(A654="","",COUNTIFS(Late_Transactions!E:E,A654,Late_Transactions!K:K,"Recorded"))</x:f>
      </x:c>
      <x:c r="F654" s="21" t="n">
        <x:f>IFERROR(MAXIFS(Late_Transactions!C:C,Late_Transactions!E:E,A654,Late_Transactions!K:K,"Recorded"),"")</x:f>
        <x:v>0</x:v>
      </x:c>
      <x:c r="G654" s="17" t="str">
        <x:f>IF(E654="","",IF(E654&gt;=5,"High",IF(E654&gt;=3,"Watch","OK")))</x:f>
      </x:c>
    </x:row>
    <x:row r="655">
      <x:c r="A655" s="17" t="str">
        <x:f>IF(Students!A655="","",Students!A655)</x:f>
      </x:c>
      <x:c r="B655" s="17" t="str">
        <x:f>IF(A655="","",Students!F655)</x:f>
      </x:c>
      <x:c r="C655" s="17" t="str">
        <x:f>IF(A655="","",Students!G655)</x:f>
      </x:c>
      <x:c r="D655" s="17" t="str">
        <x:f>IF(A655="","",Students!H655)</x:f>
      </x:c>
      <x:c r="E655" s="22" t="str">
        <x:f>IF(A655="","",COUNTIFS(Late_Transactions!E:E,A655,Late_Transactions!K:K,"Recorded"))</x:f>
      </x:c>
      <x:c r="F655" s="21" t="n">
        <x:f>IFERROR(MAXIFS(Late_Transactions!C:C,Late_Transactions!E:E,A655,Late_Transactions!K:K,"Recorded"),"")</x:f>
        <x:v>0</x:v>
      </x:c>
      <x:c r="G655" s="17" t="str">
        <x:f>IF(E655="","",IF(E655&gt;=5,"High",IF(E655&gt;=3,"Watch","OK")))</x:f>
      </x:c>
    </x:row>
    <x:row r="656">
      <x:c r="A656" s="17" t="str">
        <x:f>IF(Students!A656="","",Students!A656)</x:f>
      </x:c>
      <x:c r="B656" s="17" t="str">
        <x:f>IF(A656="","",Students!F656)</x:f>
      </x:c>
      <x:c r="C656" s="17" t="str">
        <x:f>IF(A656="","",Students!G656)</x:f>
      </x:c>
      <x:c r="D656" s="17" t="str">
        <x:f>IF(A656="","",Students!H656)</x:f>
      </x:c>
      <x:c r="E656" s="22" t="str">
        <x:f>IF(A656="","",COUNTIFS(Late_Transactions!E:E,A656,Late_Transactions!K:K,"Recorded"))</x:f>
      </x:c>
      <x:c r="F656" s="21" t="n">
        <x:f>IFERROR(MAXIFS(Late_Transactions!C:C,Late_Transactions!E:E,A656,Late_Transactions!K:K,"Recorded"),"")</x:f>
        <x:v>0</x:v>
      </x:c>
      <x:c r="G656" s="17" t="str">
        <x:f>IF(E656="","",IF(E656&gt;=5,"High",IF(E656&gt;=3,"Watch","OK")))</x:f>
      </x:c>
    </x:row>
    <x:row r="657">
      <x:c r="A657" s="17" t="str">
        <x:f>IF(Students!A657="","",Students!A657)</x:f>
      </x:c>
      <x:c r="B657" s="17" t="str">
        <x:f>IF(A657="","",Students!F657)</x:f>
      </x:c>
      <x:c r="C657" s="17" t="str">
        <x:f>IF(A657="","",Students!G657)</x:f>
      </x:c>
      <x:c r="D657" s="17" t="str">
        <x:f>IF(A657="","",Students!H657)</x:f>
      </x:c>
      <x:c r="E657" s="22" t="str">
        <x:f>IF(A657="","",COUNTIFS(Late_Transactions!E:E,A657,Late_Transactions!K:K,"Recorded"))</x:f>
      </x:c>
      <x:c r="F657" s="21" t="n">
        <x:f>IFERROR(MAXIFS(Late_Transactions!C:C,Late_Transactions!E:E,A657,Late_Transactions!K:K,"Recorded"),"")</x:f>
        <x:v>0</x:v>
      </x:c>
      <x:c r="G657" s="17" t="str">
        <x:f>IF(E657="","",IF(E657&gt;=5,"High",IF(E657&gt;=3,"Watch","OK")))</x:f>
      </x:c>
    </x:row>
    <x:row r="658">
      <x:c r="A658" s="17" t="str">
        <x:f>IF(Students!A658="","",Students!A658)</x:f>
      </x:c>
      <x:c r="B658" s="17" t="str">
        <x:f>IF(A658="","",Students!F658)</x:f>
      </x:c>
      <x:c r="C658" s="17" t="str">
        <x:f>IF(A658="","",Students!G658)</x:f>
      </x:c>
      <x:c r="D658" s="17" t="str">
        <x:f>IF(A658="","",Students!H658)</x:f>
      </x:c>
      <x:c r="E658" s="22" t="str">
        <x:f>IF(A658="","",COUNTIFS(Late_Transactions!E:E,A658,Late_Transactions!K:K,"Recorded"))</x:f>
      </x:c>
      <x:c r="F658" s="21" t="n">
        <x:f>IFERROR(MAXIFS(Late_Transactions!C:C,Late_Transactions!E:E,A658,Late_Transactions!K:K,"Recorded"),"")</x:f>
        <x:v>0</x:v>
      </x:c>
      <x:c r="G658" s="17" t="str">
        <x:f>IF(E658="","",IF(E658&gt;=5,"High",IF(E658&gt;=3,"Watch","OK")))</x:f>
      </x:c>
    </x:row>
    <x:row r="659">
      <x:c r="A659" s="17" t="str">
        <x:f>IF(Students!A659="","",Students!A659)</x:f>
      </x:c>
      <x:c r="B659" s="17" t="str">
        <x:f>IF(A659="","",Students!F659)</x:f>
      </x:c>
      <x:c r="C659" s="17" t="str">
        <x:f>IF(A659="","",Students!G659)</x:f>
      </x:c>
      <x:c r="D659" s="17" t="str">
        <x:f>IF(A659="","",Students!H659)</x:f>
      </x:c>
      <x:c r="E659" s="22" t="str">
        <x:f>IF(A659="","",COUNTIFS(Late_Transactions!E:E,A659,Late_Transactions!K:K,"Recorded"))</x:f>
      </x:c>
      <x:c r="F659" s="21" t="n">
        <x:f>IFERROR(MAXIFS(Late_Transactions!C:C,Late_Transactions!E:E,A659,Late_Transactions!K:K,"Recorded"),"")</x:f>
        <x:v>0</x:v>
      </x:c>
      <x:c r="G659" s="17" t="str">
        <x:f>IF(E659="","",IF(E659&gt;=5,"High",IF(E659&gt;=3,"Watch","OK")))</x:f>
      </x:c>
    </x:row>
    <x:row r="660">
      <x:c r="A660" s="17" t="str">
        <x:f>IF(Students!A660="","",Students!A660)</x:f>
      </x:c>
      <x:c r="B660" s="17" t="str">
        <x:f>IF(A660="","",Students!F660)</x:f>
      </x:c>
      <x:c r="C660" s="17" t="str">
        <x:f>IF(A660="","",Students!G660)</x:f>
      </x:c>
      <x:c r="D660" s="17" t="str">
        <x:f>IF(A660="","",Students!H660)</x:f>
      </x:c>
      <x:c r="E660" s="22" t="str">
        <x:f>IF(A660="","",COUNTIFS(Late_Transactions!E:E,A660,Late_Transactions!K:K,"Recorded"))</x:f>
      </x:c>
      <x:c r="F660" s="21" t="n">
        <x:f>IFERROR(MAXIFS(Late_Transactions!C:C,Late_Transactions!E:E,A660,Late_Transactions!K:K,"Recorded"),"")</x:f>
        <x:v>0</x:v>
      </x:c>
      <x:c r="G660" s="17" t="str">
        <x:f>IF(E660="","",IF(E660&gt;=5,"High",IF(E660&gt;=3,"Watch","OK")))</x:f>
      </x:c>
    </x:row>
    <x:row r="661">
      <x:c r="A661" s="17" t="str">
        <x:f>IF(Students!A661="","",Students!A661)</x:f>
      </x:c>
      <x:c r="B661" s="17" t="str">
        <x:f>IF(A661="","",Students!F661)</x:f>
      </x:c>
      <x:c r="C661" s="17" t="str">
        <x:f>IF(A661="","",Students!G661)</x:f>
      </x:c>
      <x:c r="D661" s="17" t="str">
        <x:f>IF(A661="","",Students!H661)</x:f>
      </x:c>
      <x:c r="E661" s="22" t="str">
        <x:f>IF(A661="","",COUNTIFS(Late_Transactions!E:E,A661,Late_Transactions!K:K,"Recorded"))</x:f>
      </x:c>
      <x:c r="F661" s="21" t="n">
        <x:f>IFERROR(MAXIFS(Late_Transactions!C:C,Late_Transactions!E:E,A661,Late_Transactions!K:K,"Recorded"),"")</x:f>
        <x:v>0</x:v>
      </x:c>
      <x:c r="G661" s="17" t="str">
        <x:f>IF(E661="","",IF(E661&gt;=5,"High",IF(E661&gt;=3,"Watch","OK")))</x:f>
      </x:c>
    </x:row>
    <x:row r="662">
      <x:c r="A662" s="17" t="str">
        <x:f>IF(Students!A662="","",Students!A662)</x:f>
      </x:c>
      <x:c r="B662" s="17" t="str">
        <x:f>IF(A662="","",Students!F662)</x:f>
      </x:c>
      <x:c r="C662" s="17" t="str">
        <x:f>IF(A662="","",Students!G662)</x:f>
      </x:c>
      <x:c r="D662" s="17" t="str">
        <x:f>IF(A662="","",Students!H662)</x:f>
      </x:c>
      <x:c r="E662" s="22" t="str">
        <x:f>IF(A662="","",COUNTIFS(Late_Transactions!E:E,A662,Late_Transactions!K:K,"Recorded"))</x:f>
      </x:c>
      <x:c r="F662" s="21" t="n">
        <x:f>IFERROR(MAXIFS(Late_Transactions!C:C,Late_Transactions!E:E,A662,Late_Transactions!K:K,"Recorded"),"")</x:f>
        <x:v>0</x:v>
      </x:c>
      <x:c r="G662" s="17" t="str">
        <x:f>IF(E662="","",IF(E662&gt;=5,"High",IF(E662&gt;=3,"Watch","OK")))</x:f>
      </x:c>
    </x:row>
    <x:row r="663">
      <x:c r="A663" s="17" t="str">
        <x:f>IF(Students!A663="","",Students!A663)</x:f>
      </x:c>
      <x:c r="B663" s="17" t="str">
        <x:f>IF(A663="","",Students!F663)</x:f>
      </x:c>
      <x:c r="C663" s="17" t="str">
        <x:f>IF(A663="","",Students!G663)</x:f>
      </x:c>
      <x:c r="D663" s="17" t="str">
        <x:f>IF(A663="","",Students!H663)</x:f>
      </x:c>
      <x:c r="E663" s="22" t="str">
        <x:f>IF(A663="","",COUNTIFS(Late_Transactions!E:E,A663,Late_Transactions!K:K,"Recorded"))</x:f>
      </x:c>
      <x:c r="F663" s="21" t="n">
        <x:f>IFERROR(MAXIFS(Late_Transactions!C:C,Late_Transactions!E:E,A663,Late_Transactions!K:K,"Recorded"),"")</x:f>
        <x:v>0</x:v>
      </x:c>
      <x:c r="G663" s="17" t="str">
        <x:f>IF(E663="","",IF(E663&gt;=5,"High",IF(E663&gt;=3,"Watch","OK")))</x:f>
      </x:c>
    </x:row>
    <x:row r="664">
      <x:c r="A664" s="17" t="str">
        <x:f>IF(Students!A664="","",Students!A664)</x:f>
      </x:c>
      <x:c r="B664" s="17" t="str">
        <x:f>IF(A664="","",Students!F664)</x:f>
      </x:c>
      <x:c r="C664" s="17" t="str">
        <x:f>IF(A664="","",Students!G664)</x:f>
      </x:c>
      <x:c r="D664" s="17" t="str">
        <x:f>IF(A664="","",Students!H664)</x:f>
      </x:c>
      <x:c r="E664" s="22" t="str">
        <x:f>IF(A664="","",COUNTIFS(Late_Transactions!E:E,A664,Late_Transactions!K:K,"Recorded"))</x:f>
      </x:c>
      <x:c r="F664" s="21" t="n">
        <x:f>IFERROR(MAXIFS(Late_Transactions!C:C,Late_Transactions!E:E,A664,Late_Transactions!K:K,"Recorded"),"")</x:f>
        <x:v>0</x:v>
      </x:c>
      <x:c r="G664" s="17" t="str">
        <x:f>IF(E664="","",IF(E664&gt;=5,"High",IF(E664&gt;=3,"Watch","OK")))</x:f>
      </x:c>
    </x:row>
    <x:row r="665">
      <x:c r="A665" s="17" t="str">
        <x:f>IF(Students!A665="","",Students!A665)</x:f>
      </x:c>
      <x:c r="B665" s="17" t="str">
        <x:f>IF(A665="","",Students!F665)</x:f>
      </x:c>
      <x:c r="C665" s="17" t="str">
        <x:f>IF(A665="","",Students!G665)</x:f>
      </x:c>
      <x:c r="D665" s="17" t="str">
        <x:f>IF(A665="","",Students!H665)</x:f>
      </x:c>
      <x:c r="E665" s="22" t="str">
        <x:f>IF(A665="","",COUNTIFS(Late_Transactions!E:E,A665,Late_Transactions!K:K,"Recorded"))</x:f>
      </x:c>
      <x:c r="F665" s="21" t="n">
        <x:f>IFERROR(MAXIFS(Late_Transactions!C:C,Late_Transactions!E:E,A665,Late_Transactions!K:K,"Recorded"),"")</x:f>
        <x:v>0</x:v>
      </x:c>
      <x:c r="G665" s="17" t="str">
        <x:f>IF(E665="","",IF(E665&gt;=5,"High",IF(E665&gt;=3,"Watch","OK")))</x:f>
      </x:c>
    </x:row>
    <x:row r="666">
      <x:c r="A666" s="17" t="str">
        <x:f>IF(Students!A666="","",Students!A666)</x:f>
      </x:c>
      <x:c r="B666" s="17" t="str">
        <x:f>IF(A666="","",Students!F666)</x:f>
      </x:c>
      <x:c r="C666" s="17" t="str">
        <x:f>IF(A666="","",Students!G666)</x:f>
      </x:c>
      <x:c r="D666" s="17" t="str">
        <x:f>IF(A666="","",Students!H666)</x:f>
      </x:c>
      <x:c r="E666" s="22" t="str">
        <x:f>IF(A666="","",COUNTIFS(Late_Transactions!E:E,A666,Late_Transactions!K:K,"Recorded"))</x:f>
      </x:c>
      <x:c r="F666" s="21" t="n">
        <x:f>IFERROR(MAXIFS(Late_Transactions!C:C,Late_Transactions!E:E,A666,Late_Transactions!K:K,"Recorded"),"")</x:f>
        <x:v>0</x:v>
      </x:c>
      <x:c r="G666" s="17" t="str">
        <x:f>IF(E666="","",IF(E666&gt;=5,"High",IF(E666&gt;=3,"Watch","OK")))</x:f>
      </x:c>
    </x:row>
    <x:row r="667">
      <x:c r="A667" s="17" t="str">
        <x:f>IF(Students!A667="","",Students!A667)</x:f>
      </x:c>
      <x:c r="B667" s="17" t="str">
        <x:f>IF(A667="","",Students!F667)</x:f>
      </x:c>
      <x:c r="C667" s="17" t="str">
        <x:f>IF(A667="","",Students!G667)</x:f>
      </x:c>
      <x:c r="D667" s="17" t="str">
        <x:f>IF(A667="","",Students!H667)</x:f>
      </x:c>
      <x:c r="E667" s="22" t="str">
        <x:f>IF(A667="","",COUNTIFS(Late_Transactions!E:E,A667,Late_Transactions!K:K,"Recorded"))</x:f>
      </x:c>
      <x:c r="F667" s="21" t="n">
        <x:f>IFERROR(MAXIFS(Late_Transactions!C:C,Late_Transactions!E:E,A667,Late_Transactions!K:K,"Recorded"),"")</x:f>
        <x:v>0</x:v>
      </x:c>
      <x:c r="G667" s="17" t="str">
        <x:f>IF(E667="","",IF(E667&gt;=5,"High",IF(E667&gt;=3,"Watch","OK")))</x:f>
      </x:c>
    </x:row>
    <x:row r="668">
      <x:c r="A668" s="17" t="str">
        <x:f>IF(Students!A668="","",Students!A668)</x:f>
      </x:c>
      <x:c r="B668" s="17" t="str">
        <x:f>IF(A668="","",Students!F668)</x:f>
      </x:c>
      <x:c r="C668" s="17" t="str">
        <x:f>IF(A668="","",Students!G668)</x:f>
      </x:c>
      <x:c r="D668" s="17" t="str">
        <x:f>IF(A668="","",Students!H668)</x:f>
      </x:c>
      <x:c r="E668" s="22" t="str">
        <x:f>IF(A668="","",COUNTIFS(Late_Transactions!E:E,A668,Late_Transactions!K:K,"Recorded"))</x:f>
      </x:c>
      <x:c r="F668" s="21" t="n">
        <x:f>IFERROR(MAXIFS(Late_Transactions!C:C,Late_Transactions!E:E,A668,Late_Transactions!K:K,"Recorded"),"")</x:f>
        <x:v>0</x:v>
      </x:c>
      <x:c r="G668" s="17" t="str">
        <x:f>IF(E668="","",IF(E668&gt;=5,"High",IF(E668&gt;=3,"Watch","OK")))</x:f>
      </x:c>
    </x:row>
    <x:row r="669">
      <x:c r="A669" s="17" t="str">
        <x:f>IF(Students!A669="","",Students!A669)</x:f>
      </x:c>
      <x:c r="B669" s="17" t="str">
        <x:f>IF(A669="","",Students!F669)</x:f>
      </x:c>
      <x:c r="C669" s="17" t="str">
        <x:f>IF(A669="","",Students!G669)</x:f>
      </x:c>
      <x:c r="D669" s="17" t="str">
        <x:f>IF(A669="","",Students!H669)</x:f>
      </x:c>
      <x:c r="E669" s="22" t="str">
        <x:f>IF(A669="","",COUNTIFS(Late_Transactions!E:E,A669,Late_Transactions!K:K,"Recorded"))</x:f>
      </x:c>
      <x:c r="F669" s="21" t="n">
        <x:f>IFERROR(MAXIFS(Late_Transactions!C:C,Late_Transactions!E:E,A669,Late_Transactions!K:K,"Recorded"),"")</x:f>
        <x:v>0</x:v>
      </x:c>
      <x:c r="G669" s="17" t="str">
        <x:f>IF(E669="","",IF(E669&gt;=5,"High",IF(E669&gt;=3,"Watch","OK")))</x:f>
      </x:c>
    </x:row>
    <x:row r="670">
      <x:c r="A670" s="17" t="str">
        <x:f>IF(Students!A670="","",Students!A670)</x:f>
      </x:c>
      <x:c r="B670" s="17" t="str">
        <x:f>IF(A670="","",Students!F670)</x:f>
      </x:c>
      <x:c r="C670" s="17" t="str">
        <x:f>IF(A670="","",Students!G670)</x:f>
      </x:c>
      <x:c r="D670" s="17" t="str">
        <x:f>IF(A670="","",Students!H670)</x:f>
      </x:c>
      <x:c r="E670" s="22" t="str">
        <x:f>IF(A670="","",COUNTIFS(Late_Transactions!E:E,A670,Late_Transactions!K:K,"Recorded"))</x:f>
      </x:c>
      <x:c r="F670" s="21" t="n">
        <x:f>IFERROR(MAXIFS(Late_Transactions!C:C,Late_Transactions!E:E,A670,Late_Transactions!K:K,"Recorded"),"")</x:f>
        <x:v>0</x:v>
      </x:c>
      <x:c r="G670" s="17" t="str">
        <x:f>IF(E670="","",IF(E670&gt;=5,"High",IF(E670&gt;=3,"Watch","OK")))</x:f>
      </x:c>
    </x:row>
    <x:row r="671">
      <x:c r="A671" s="17" t="str">
        <x:f>IF(Students!A671="","",Students!A671)</x:f>
      </x:c>
      <x:c r="B671" s="17" t="str">
        <x:f>IF(A671="","",Students!F671)</x:f>
      </x:c>
      <x:c r="C671" s="17" t="str">
        <x:f>IF(A671="","",Students!G671)</x:f>
      </x:c>
      <x:c r="D671" s="17" t="str">
        <x:f>IF(A671="","",Students!H671)</x:f>
      </x:c>
      <x:c r="E671" s="22" t="str">
        <x:f>IF(A671="","",COUNTIFS(Late_Transactions!E:E,A671,Late_Transactions!K:K,"Recorded"))</x:f>
      </x:c>
      <x:c r="F671" s="21" t="n">
        <x:f>IFERROR(MAXIFS(Late_Transactions!C:C,Late_Transactions!E:E,A671,Late_Transactions!K:K,"Recorded"),"")</x:f>
        <x:v>0</x:v>
      </x:c>
      <x:c r="G671" s="17" t="str">
        <x:f>IF(E671="","",IF(E671&gt;=5,"High",IF(E671&gt;=3,"Watch","OK")))</x:f>
      </x:c>
    </x:row>
    <x:row r="672">
      <x:c r="A672" s="17" t="str">
        <x:f>IF(Students!A672="","",Students!A672)</x:f>
      </x:c>
      <x:c r="B672" s="17" t="str">
        <x:f>IF(A672="","",Students!F672)</x:f>
      </x:c>
      <x:c r="C672" s="17" t="str">
        <x:f>IF(A672="","",Students!G672)</x:f>
      </x:c>
      <x:c r="D672" s="17" t="str">
        <x:f>IF(A672="","",Students!H672)</x:f>
      </x:c>
      <x:c r="E672" s="22" t="str">
        <x:f>IF(A672="","",COUNTIFS(Late_Transactions!E:E,A672,Late_Transactions!K:K,"Recorded"))</x:f>
      </x:c>
      <x:c r="F672" s="21" t="n">
        <x:f>IFERROR(MAXIFS(Late_Transactions!C:C,Late_Transactions!E:E,A672,Late_Transactions!K:K,"Recorded"),"")</x:f>
        <x:v>0</x:v>
      </x:c>
      <x:c r="G672" s="17" t="str">
        <x:f>IF(E672="","",IF(E672&gt;=5,"High",IF(E672&gt;=3,"Watch","OK")))</x:f>
      </x:c>
    </x:row>
    <x:row r="673">
      <x:c r="A673" s="17" t="str">
        <x:f>IF(Students!A673="","",Students!A673)</x:f>
      </x:c>
      <x:c r="B673" s="17" t="str">
        <x:f>IF(A673="","",Students!F673)</x:f>
      </x:c>
      <x:c r="C673" s="17" t="str">
        <x:f>IF(A673="","",Students!G673)</x:f>
      </x:c>
      <x:c r="D673" s="17" t="str">
        <x:f>IF(A673="","",Students!H673)</x:f>
      </x:c>
      <x:c r="E673" s="22" t="str">
        <x:f>IF(A673="","",COUNTIFS(Late_Transactions!E:E,A673,Late_Transactions!K:K,"Recorded"))</x:f>
      </x:c>
      <x:c r="F673" s="21" t="n">
        <x:f>IFERROR(MAXIFS(Late_Transactions!C:C,Late_Transactions!E:E,A673,Late_Transactions!K:K,"Recorded"),"")</x:f>
        <x:v>0</x:v>
      </x:c>
      <x:c r="G673" s="17" t="str">
        <x:f>IF(E673="","",IF(E673&gt;=5,"High",IF(E673&gt;=3,"Watch","OK")))</x:f>
      </x:c>
    </x:row>
    <x:row r="674">
      <x:c r="A674" s="17" t="str">
        <x:f>IF(Students!A674="","",Students!A674)</x:f>
      </x:c>
      <x:c r="B674" s="17" t="str">
        <x:f>IF(A674="","",Students!F674)</x:f>
      </x:c>
      <x:c r="C674" s="17" t="str">
        <x:f>IF(A674="","",Students!G674)</x:f>
      </x:c>
      <x:c r="D674" s="17" t="str">
        <x:f>IF(A674="","",Students!H674)</x:f>
      </x:c>
      <x:c r="E674" s="22" t="str">
        <x:f>IF(A674="","",COUNTIFS(Late_Transactions!E:E,A674,Late_Transactions!K:K,"Recorded"))</x:f>
      </x:c>
      <x:c r="F674" s="21" t="n">
        <x:f>IFERROR(MAXIFS(Late_Transactions!C:C,Late_Transactions!E:E,A674,Late_Transactions!K:K,"Recorded"),"")</x:f>
        <x:v>0</x:v>
      </x:c>
      <x:c r="G674" s="17" t="str">
        <x:f>IF(E674="","",IF(E674&gt;=5,"High",IF(E674&gt;=3,"Watch","OK")))</x:f>
      </x:c>
    </x:row>
    <x:row r="675">
      <x:c r="A675" s="17" t="str">
        <x:f>IF(Students!A675="","",Students!A675)</x:f>
      </x:c>
      <x:c r="B675" s="17" t="str">
        <x:f>IF(A675="","",Students!F675)</x:f>
      </x:c>
      <x:c r="C675" s="17" t="str">
        <x:f>IF(A675="","",Students!G675)</x:f>
      </x:c>
      <x:c r="D675" s="17" t="str">
        <x:f>IF(A675="","",Students!H675)</x:f>
      </x:c>
      <x:c r="E675" s="22" t="str">
        <x:f>IF(A675="","",COUNTIFS(Late_Transactions!E:E,A675,Late_Transactions!K:K,"Recorded"))</x:f>
      </x:c>
      <x:c r="F675" s="21" t="n">
        <x:f>IFERROR(MAXIFS(Late_Transactions!C:C,Late_Transactions!E:E,A675,Late_Transactions!K:K,"Recorded"),"")</x:f>
        <x:v>0</x:v>
      </x:c>
      <x:c r="G675" s="17" t="str">
        <x:f>IF(E675="","",IF(E675&gt;=5,"High",IF(E675&gt;=3,"Watch","OK")))</x:f>
      </x:c>
    </x:row>
    <x:row r="676">
      <x:c r="A676" s="17" t="str">
        <x:f>IF(Students!A676="","",Students!A676)</x:f>
      </x:c>
      <x:c r="B676" s="17" t="str">
        <x:f>IF(A676="","",Students!F676)</x:f>
      </x:c>
      <x:c r="C676" s="17" t="str">
        <x:f>IF(A676="","",Students!G676)</x:f>
      </x:c>
      <x:c r="D676" s="17" t="str">
        <x:f>IF(A676="","",Students!H676)</x:f>
      </x:c>
      <x:c r="E676" s="22" t="str">
        <x:f>IF(A676="","",COUNTIFS(Late_Transactions!E:E,A676,Late_Transactions!K:K,"Recorded"))</x:f>
      </x:c>
      <x:c r="F676" s="21" t="n">
        <x:f>IFERROR(MAXIFS(Late_Transactions!C:C,Late_Transactions!E:E,A676,Late_Transactions!K:K,"Recorded"),"")</x:f>
        <x:v>0</x:v>
      </x:c>
      <x:c r="G676" s="17" t="str">
        <x:f>IF(E676="","",IF(E676&gt;=5,"High",IF(E676&gt;=3,"Watch","OK")))</x:f>
      </x:c>
    </x:row>
    <x:row r="677">
      <x:c r="A677" s="17" t="str">
        <x:f>IF(Students!A677="","",Students!A677)</x:f>
      </x:c>
      <x:c r="B677" s="17" t="str">
        <x:f>IF(A677="","",Students!F677)</x:f>
      </x:c>
      <x:c r="C677" s="17" t="str">
        <x:f>IF(A677="","",Students!G677)</x:f>
      </x:c>
      <x:c r="D677" s="17" t="str">
        <x:f>IF(A677="","",Students!H677)</x:f>
      </x:c>
      <x:c r="E677" s="22" t="str">
        <x:f>IF(A677="","",COUNTIFS(Late_Transactions!E:E,A677,Late_Transactions!K:K,"Recorded"))</x:f>
      </x:c>
      <x:c r="F677" s="21" t="n">
        <x:f>IFERROR(MAXIFS(Late_Transactions!C:C,Late_Transactions!E:E,A677,Late_Transactions!K:K,"Recorded"),"")</x:f>
        <x:v>0</x:v>
      </x:c>
      <x:c r="G677" s="17" t="str">
        <x:f>IF(E677="","",IF(E677&gt;=5,"High",IF(E677&gt;=3,"Watch","OK")))</x:f>
      </x:c>
    </x:row>
    <x:row r="678">
      <x:c r="A678" s="17" t="str">
        <x:f>IF(Students!A678="","",Students!A678)</x:f>
      </x:c>
      <x:c r="B678" s="17" t="str">
        <x:f>IF(A678="","",Students!F678)</x:f>
      </x:c>
      <x:c r="C678" s="17" t="str">
        <x:f>IF(A678="","",Students!G678)</x:f>
      </x:c>
      <x:c r="D678" s="17" t="str">
        <x:f>IF(A678="","",Students!H678)</x:f>
      </x:c>
      <x:c r="E678" s="22" t="str">
        <x:f>IF(A678="","",COUNTIFS(Late_Transactions!E:E,A678,Late_Transactions!K:K,"Recorded"))</x:f>
      </x:c>
      <x:c r="F678" s="21" t="n">
        <x:f>IFERROR(MAXIFS(Late_Transactions!C:C,Late_Transactions!E:E,A678,Late_Transactions!K:K,"Recorded"),"")</x:f>
        <x:v>0</x:v>
      </x:c>
      <x:c r="G678" s="17" t="str">
        <x:f>IF(E678="","",IF(E678&gt;=5,"High",IF(E678&gt;=3,"Watch","OK")))</x:f>
      </x:c>
    </x:row>
    <x:row r="679">
      <x:c r="A679" s="17" t="str">
        <x:f>IF(Students!A679="","",Students!A679)</x:f>
      </x:c>
      <x:c r="B679" s="17" t="str">
        <x:f>IF(A679="","",Students!F679)</x:f>
      </x:c>
      <x:c r="C679" s="17" t="str">
        <x:f>IF(A679="","",Students!G679)</x:f>
      </x:c>
      <x:c r="D679" s="17" t="str">
        <x:f>IF(A679="","",Students!H679)</x:f>
      </x:c>
      <x:c r="E679" s="22" t="str">
        <x:f>IF(A679="","",COUNTIFS(Late_Transactions!E:E,A679,Late_Transactions!K:K,"Recorded"))</x:f>
      </x:c>
      <x:c r="F679" s="21" t="n">
        <x:f>IFERROR(MAXIFS(Late_Transactions!C:C,Late_Transactions!E:E,A679,Late_Transactions!K:K,"Recorded"),"")</x:f>
        <x:v>0</x:v>
      </x:c>
      <x:c r="G679" s="17" t="str">
        <x:f>IF(E679="","",IF(E679&gt;=5,"High",IF(E679&gt;=3,"Watch","OK")))</x:f>
      </x:c>
    </x:row>
    <x:row r="680">
      <x:c r="A680" s="17" t="str">
        <x:f>IF(Students!A680="","",Students!A680)</x:f>
      </x:c>
      <x:c r="B680" s="17" t="str">
        <x:f>IF(A680="","",Students!F680)</x:f>
      </x:c>
      <x:c r="C680" s="17" t="str">
        <x:f>IF(A680="","",Students!G680)</x:f>
      </x:c>
      <x:c r="D680" s="17" t="str">
        <x:f>IF(A680="","",Students!H680)</x:f>
      </x:c>
      <x:c r="E680" s="22" t="str">
        <x:f>IF(A680="","",COUNTIFS(Late_Transactions!E:E,A680,Late_Transactions!K:K,"Recorded"))</x:f>
      </x:c>
      <x:c r="F680" s="21" t="n">
        <x:f>IFERROR(MAXIFS(Late_Transactions!C:C,Late_Transactions!E:E,A680,Late_Transactions!K:K,"Recorded"),"")</x:f>
        <x:v>0</x:v>
      </x:c>
      <x:c r="G680" s="17" t="str">
        <x:f>IF(E680="","",IF(E680&gt;=5,"High",IF(E680&gt;=3,"Watch","OK")))</x:f>
      </x:c>
    </x:row>
    <x:row r="681">
      <x:c r="A681" s="17" t="str">
        <x:f>IF(Students!A681="","",Students!A681)</x:f>
      </x:c>
      <x:c r="B681" s="17" t="str">
        <x:f>IF(A681="","",Students!F681)</x:f>
      </x:c>
      <x:c r="C681" s="17" t="str">
        <x:f>IF(A681="","",Students!G681)</x:f>
      </x:c>
      <x:c r="D681" s="17" t="str">
        <x:f>IF(A681="","",Students!H681)</x:f>
      </x:c>
      <x:c r="E681" s="22" t="str">
        <x:f>IF(A681="","",COUNTIFS(Late_Transactions!E:E,A681,Late_Transactions!K:K,"Recorded"))</x:f>
      </x:c>
      <x:c r="F681" s="21" t="n">
        <x:f>IFERROR(MAXIFS(Late_Transactions!C:C,Late_Transactions!E:E,A681,Late_Transactions!K:K,"Recorded"),"")</x:f>
        <x:v>0</x:v>
      </x:c>
      <x:c r="G681" s="17" t="str">
        <x:f>IF(E681="","",IF(E681&gt;=5,"High",IF(E681&gt;=3,"Watch","OK")))</x:f>
      </x:c>
    </x:row>
    <x:row r="682">
      <x:c r="A682" s="17" t="str">
        <x:f>IF(Students!A682="","",Students!A682)</x:f>
      </x:c>
      <x:c r="B682" s="17" t="str">
        <x:f>IF(A682="","",Students!F682)</x:f>
      </x:c>
      <x:c r="C682" s="17" t="str">
        <x:f>IF(A682="","",Students!G682)</x:f>
      </x:c>
      <x:c r="D682" s="17" t="str">
        <x:f>IF(A682="","",Students!H682)</x:f>
      </x:c>
      <x:c r="E682" s="22" t="str">
        <x:f>IF(A682="","",COUNTIFS(Late_Transactions!E:E,A682,Late_Transactions!K:K,"Recorded"))</x:f>
      </x:c>
      <x:c r="F682" s="21" t="n">
        <x:f>IFERROR(MAXIFS(Late_Transactions!C:C,Late_Transactions!E:E,A682,Late_Transactions!K:K,"Recorded"),"")</x:f>
        <x:v>0</x:v>
      </x:c>
      <x:c r="G682" s="17" t="str">
        <x:f>IF(E682="","",IF(E682&gt;=5,"High",IF(E682&gt;=3,"Watch","OK")))</x:f>
      </x:c>
    </x:row>
    <x:row r="683">
      <x:c r="A683" s="17" t="str">
        <x:f>IF(Students!A683="","",Students!A683)</x:f>
      </x:c>
      <x:c r="B683" s="17" t="str">
        <x:f>IF(A683="","",Students!F683)</x:f>
      </x:c>
      <x:c r="C683" s="17" t="str">
        <x:f>IF(A683="","",Students!G683)</x:f>
      </x:c>
      <x:c r="D683" s="17" t="str">
        <x:f>IF(A683="","",Students!H683)</x:f>
      </x:c>
      <x:c r="E683" s="22" t="str">
        <x:f>IF(A683="","",COUNTIFS(Late_Transactions!E:E,A683,Late_Transactions!K:K,"Recorded"))</x:f>
      </x:c>
      <x:c r="F683" s="21" t="n">
        <x:f>IFERROR(MAXIFS(Late_Transactions!C:C,Late_Transactions!E:E,A683,Late_Transactions!K:K,"Recorded"),"")</x:f>
        <x:v>0</x:v>
      </x:c>
      <x:c r="G683" s="17" t="str">
        <x:f>IF(E683="","",IF(E683&gt;=5,"High",IF(E683&gt;=3,"Watch","OK")))</x:f>
      </x:c>
    </x:row>
    <x:row r="684">
      <x:c r="A684" s="17" t="str">
        <x:f>IF(Students!A684="","",Students!A684)</x:f>
      </x:c>
      <x:c r="B684" s="17" t="str">
        <x:f>IF(A684="","",Students!F684)</x:f>
      </x:c>
      <x:c r="C684" s="17" t="str">
        <x:f>IF(A684="","",Students!G684)</x:f>
      </x:c>
      <x:c r="D684" s="17" t="str">
        <x:f>IF(A684="","",Students!H684)</x:f>
      </x:c>
      <x:c r="E684" s="22" t="str">
        <x:f>IF(A684="","",COUNTIFS(Late_Transactions!E:E,A684,Late_Transactions!K:K,"Recorded"))</x:f>
      </x:c>
      <x:c r="F684" s="21" t="n">
        <x:f>IFERROR(MAXIFS(Late_Transactions!C:C,Late_Transactions!E:E,A684,Late_Transactions!K:K,"Recorded"),"")</x:f>
        <x:v>0</x:v>
      </x:c>
      <x:c r="G684" s="17" t="str">
        <x:f>IF(E684="","",IF(E684&gt;=5,"High",IF(E684&gt;=3,"Watch","OK")))</x:f>
      </x:c>
    </x:row>
    <x:row r="685">
      <x:c r="A685" s="17" t="str">
        <x:f>IF(Students!A685="","",Students!A685)</x:f>
      </x:c>
      <x:c r="B685" s="17" t="str">
        <x:f>IF(A685="","",Students!F685)</x:f>
      </x:c>
      <x:c r="C685" s="17" t="str">
        <x:f>IF(A685="","",Students!G685)</x:f>
      </x:c>
      <x:c r="D685" s="17" t="str">
        <x:f>IF(A685="","",Students!H685)</x:f>
      </x:c>
      <x:c r="E685" s="22" t="str">
        <x:f>IF(A685="","",COUNTIFS(Late_Transactions!E:E,A685,Late_Transactions!K:K,"Recorded"))</x:f>
      </x:c>
      <x:c r="F685" s="21" t="n">
        <x:f>IFERROR(MAXIFS(Late_Transactions!C:C,Late_Transactions!E:E,A685,Late_Transactions!K:K,"Recorded"),"")</x:f>
        <x:v>0</x:v>
      </x:c>
      <x:c r="G685" s="17" t="str">
        <x:f>IF(E685="","",IF(E685&gt;=5,"High",IF(E685&gt;=3,"Watch","OK")))</x:f>
      </x:c>
    </x:row>
    <x:row r="686">
      <x:c r="A686" s="17" t="str">
        <x:f>IF(Students!A686="","",Students!A686)</x:f>
      </x:c>
      <x:c r="B686" s="17" t="str">
        <x:f>IF(A686="","",Students!F686)</x:f>
      </x:c>
      <x:c r="C686" s="17" t="str">
        <x:f>IF(A686="","",Students!G686)</x:f>
      </x:c>
      <x:c r="D686" s="17" t="str">
        <x:f>IF(A686="","",Students!H686)</x:f>
      </x:c>
      <x:c r="E686" s="22" t="str">
        <x:f>IF(A686="","",COUNTIFS(Late_Transactions!E:E,A686,Late_Transactions!K:K,"Recorded"))</x:f>
      </x:c>
      <x:c r="F686" s="21" t="n">
        <x:f>IFERROR(MAXIFS(Late_Transactions!C:C,Late_Transactions!E:E,A686,Late_Transactions!K:K,"Recorded"),"")</x:f>
        <x:v>0</x:v>
      </x:c>
      <x:c r="G686" s="17" t="str">
        <x:f>IF(E686="","",IF(E686&gt;=5,"High",IF(E686&gt;=3,"Watch","OK")))</x:f>
      </x:c>
    </x:row>
    <x:row r="687">
      <x:c r="A687" s="17" t="str">
        <x:f>IF(Students!A687="","",Students!A687)</x:f>
      </x:c>
      <x:c r="B687" s="17" t="str">
        <x:f>IF(A687="","",Students!F687)</x:f>
      </x:c>
      <x:c r="C687" s="17" t="str">
        <x:f>IF(A687="","",Students!G687)</x:f>
      </x:c>
      <x:c r="D687" s="17" t="str">
        <x:f>IF(A687="","",Students!H687)</x:f>
      </x:c>
      <x:c r="E687" s="22" t="str">
        <x:f>IF(A687="","",COUNTIFS(Late_Transactions!E:E,A687,Late_Transactions!K:K,"Recorded"))</x:f>
      </x:c>
      <x:c r="F687" s="21" t="n">
        <x:f>IFERROR(MAXIFS(Late_Transactions!C:C,Late_Transactions!E:E,A687,Late_Transactions!K:K,"Recorded"),"")</x:f>
        <x:v>0</x:v>
      </x:c>
      <x:c r="G687" s="17" t="str">
        <x:f>IF(E687="","",IF(E687&gt;=5,"High",IF(E687&gt;=3,"Watch","OK")))</x:f>
      </x:c>
    </x:row>
    <x:row r="688">
      <x:c r="A688" s="17" t="str">
        <x:f>IF(Students!A688="","",Students!A688)</x:f>
      </x:c>
      <x:c r="B688" s="17" t="str">
        <x:f>IF(A688="","",Students!F688)</x:f>
      </x:c>
      <x:c r="C688" s="17" t="str">
        <x:f>IF(A688="","",Students!G688)</x:f>
      </x:c>
      <x:c r="D688" s="17" t="str">
        <x:f>IF(A688="","",Students!H688)</x:f>
      </x:c>
      <x:c r="E688" s="22" t="str">
        <x:f>IF(A688="","",COUNTIFS(Late_Transactions!E:E,A688,Late_Transactions!K:K,"Recorded"))</x:f>
      </x:c>
      <x:c r="F688" s="21" t="n">
        <x:f>IFERROR(MAXIFS(Late_Transactions!C:C,Late_Transactions!E:E,A688,Late_Transactions!K:K,"Recorded"),"")</x:f>
        <x:v>0</x:v>
      </x:c>
      <x:c r="G688" s="17" t="str">
        <x:f>IF(E688="","",IF(E688&gt;=5,"High",IF(E688&gt;=3,"Watch","OK")))</x:f>
      </x:c>
    </x:row>
    <x:row r="689">
      <x:c r="A689" s="17" t="str">
        <x:f>IF(Students!A689="","",Students!A689)</x:f>
      </x:c>
      <x:c r="B689" s="17" t="str">
        <x:f>IF(A689="","",Students!F689)</x:f>
      </x:c>
      <x:c r="C689" s="17" t="str">
        <x:f>IF(A689="","",Students!G689)</x:f>
      </x:c>
      <x:c r="D689" s="17" t="str">
        <x:f>IF(A689="","",Students!H689)</x:f>
      </x:c>
      <x:c r="E689" s="22" t="str">
        <x:f>IF(A689="","",COUNTIFS(Late_Transactions!E:E,A689,Late_Transactions!K:K,"Recorded"))</x:f>
      </x:c>
      <x:c r="F689" s="21" t="n">
        <x:f>IFERROR(MAXIFS(Late_Transactions!C:C,Late_Transactions!E:E,A689,Late_Transactions!K:K,"Recorded"),"")</x:f>
        <x:v>0</x:v>
      </x:c>
      <x:c r="G689" s="17" t="str">
        <x:f>IF(E689="","",IF(E689&gt;=5,"High",IF(E689&gt;=3,"Watch","OK")))</x:f>
      </x:c>
    </x:row>
    <x:row r="690">
      <x:c r="A690" s="17" t="str">
        <x:f>IF(Students!A690="","",Students!A690)</x:f>
      </x:c>
      <x:c r="B690" s="17" t="str">
        <x:f>IF(A690="","",Students!F690)</x:f>
      </x:c>
      <x:c r="C690" s="17" t="str">
        <x:f>IF(A690="","",Students!G690)</x:f>
      </x:c>
      <x:c r="D690" s="17" t="str">
        <x:f>IF(A690="","",Students!H690)</x:f>
      </x:c>
      <x:c r="E690" s="22" t="str">
        <x:f>IF(A690="","",COUNTIFS(Late_Transactions!E:E,A690,Late_Transactions!K:K,"Recorded"))</x:f>
      </x:c>
      <x:c r="F690" s="21" t="n">
        <x:f>IFERROR(MAXIFS(Late_Transactions!C:C,Late_Transactions!E:E,A690,Late_Transactions!K:K,"Recorded"),"")</x:f>
        <x:v>0</x:v>
      </x:c>
      <x:c r="G690" s="17" t="str">
        <x:f>IF(E690="","",IF(E690&gt;=5,"High",IF(E690&gt;=3,"Watch","OK")))</x:f>
      </x:c>
    </x:row>
    <x:row r="691">
      <x:c r="A691" s="17" t="str">
        <x:f>IF(Students!A691="","",Students!A691)</x:f>
      </x:c>
      <x:c r="B691" s="17" t="str">
        <x:f>IF(A691="","",Students!F691)</x:f>
      </x:c>
      <x:c r="C691" s="17" t="str">
        <x:f>IF(A691="","",Students!G691)</x:f>
      </x:c>
      <x:c r="D691" s="17" t="str">
        <x:f>IF(A691="","",Students!H691)</x:f>
      </x:c>
      <x:c r="E691" s="22" t="str">
        <x:f>IF(A691="","",COUNTIFS(Late_Transactions!E:E,A691,Late_Transactions!K:K,"Recorded"))</x:f>
      </x:c>
      <x:c r="F691" s="21" t="n">
        <x:f>IFERROR(MAXIFS(Late_Transactions!C:C,Late_Transactions!E:E,A691,Late_Transactions!K:K,"Recorded"),"")</x:f>
        <x:v>0</x:v>
      </x:c>
      <x:c r="G691" s="17" t="str">
        <x:f>IF(E691="","",IF(E691&gt;=5,"High",IF(E691&gt;=3,"Watch","OK")))</x:f>
      </x:c>
    </x:row>
    <x:row r="692">
      <x:c r="A692" s="17" t="str">
        <x:f>IF(Students!A692="","",Students!A692)</x:f>
      </x:c>
      <x:c r="B692" s="17" t="str">
        <x:f>IF(A692="","",Students!F692)</x:f>
      </x:c>
      <x:c r="C692" s="17" t="str">
        <x:f>IF(A692="","",Students!G692)</x:f>
      </x:c>
      <x:c r="D692" s="17" t="str">
        <x:f>IF(A692="","",Students!H692)</x:f>
      </x:c>
      <x:c r="E692" s="22" t="str">
        <x:f>IF(A692="","",COUNTIFS(Late_Transactions!E:E,A692,Late_Transactions!K:K,"Recorded"))</x:f>
      </x:c>
      <x:c r="F692" s="21" t="n">
        <x:f>IFERROR(MAXIFS(Late_Transactions!C:C,Late_Transactions!E:E,A692,Late_Transactions!K:K,"Recorded"),"")</x:f>
        <x:v>0</x:v>
      </x:c>
      <x:c r="G692" s="17" t="str">
        <x:f>IF(E692="","",IF(E692&gt;=5,"High",IF(E692&gt;=3,"Watch","OK")))</x:f>
      </x:c>
    </x:row>
    <x:row r="693">
      <x:c r="A693" s="17" t="str">
        <x:f>IF(Students!A693="","",Students!A693)</x:f>
      </x:c>
      <x:c r="B693" s="17" t="str">
        <x:f>IF(A693="","",Students!F693)</x:f>
      </x:c>
      <x:c r="C693" s="17" t="str">
        <x:f>IF(A693="","",Students!G693)</x:f>
      </x:c>
      <x:c r="D693" s="17" t="str">
        <x:f>IF(A693="","",Students!H693)</x:f>
      </x:c>
      <x:c r="E693" s="22" t="str">
        <x:f>IF(A693="","",COUNTIFS(Late_Transactions!E:E,A693,Late_Transactions!K:K,"Recorded"))</x:f>
      </x:c>
      <x:c r="F693" s="21" t="n">
        <x:f>IFERROR(MAXIFS(Late_Transactions!C:C,Late_Transactions!E:E,A693,Late_Transactions!K:K,"Recorded"),"")</x:f>
        <x:v>0</x:v>
      </x:c>
      <x:c r="G693" s="17" t="str">
        <x:f>IF(E693="","",IF(E693&gt;=5,"High",IF(E693&gt;=3,"Watch","OK")))</x:f>
      </x:c>
    </x:row>
    <x:row r="694">
      <x:c r="A694" s="17" t="str">
        <x:f>IF(Students!A694="","",Students!A694)</x:f>
      </x:c>
      <x:c r="B694" s="17" t="str">
        <x:f>IF(A694="","",Students!F694)</x:f>
      </x:c>
      <x:c r="C694" s="17" t="str">
        <x:f>IF(A694="","",Students!G694)</x:f>
      </x:c>
      <x:c r="D694" s="17" t="str">
        <x:f>IF(A694="","",Students!H694)</x:f>
      </x:c>
      <x:c r="E694" s="22" t="str">
        <x:f>IF(A694="","",COUNTIFS(Late_Transactions!E:E,A694,Late_Transactions!K:K,"Recorded"))</x:f>
      </x:c>
      <x:c r="F694" s="21" t="n">
        <x:f>IFERROR(MAXIFS(Late_Transactions!C:C,Late_Transactions!E:E,A694,Late_Transactions!K:K,"Recorded"),"")</x:f>
        <x:v>0</x:v>
      </x:c>
      <x:c r="G694" s="17" t="str">
        <x:f>IF(E694="","",IF(E694&gt;=5,"High",IF(E694&gt;=3,"Watch","OK")))</x:f>
      </x:c>
    </x:row>
    <x:row r="695">
      <x:c r="A695" s="17" t="str">
        <x:f>IF(Students!A695="","",Students!A695)</x:f>
      </x:c>
      <x:c r="B695" s="17" t="str">
        <x:f>IF(A695="","",Students!F695)</x:f>
      </x:c>
      <x:c r="C695" s="17" t="str">
        <x:f>IF(A695="","",Students!G695)</x:f>
      </x:c>
      <x:c r="D695" s="17" t="str">
        <x:f>IF(A695="","",Students!H695)</x:f>
      </x:c>
      <x:c r="E695" s="22" t="str">
        <x:f>IF(A695="","",COUNTIFS(Late_Transactions!E:E,A695,Late_Transactions!K:K,"Recorded"))</x:f>
      </x:c>
      <x:c r="F695" s="21" t="n">
        <x:f>IFERROR(MAXIFS(Late_Transactions!C:C,Late_Transactions!E:E,A695,Late_Transactions!K:K,"Recorded"),"")</x:f>
        <x:v>0</x:v>
      </x:c>
      <x:c r="G695" s="17" t="str">
        <x:f>IF(E695="","",IF(E695&gt;=5,"High",IF(E695&gt;=3,"Watch","OK")))</x:f>
      </x:c>
    </x:row>
    <x:row r="696">
      <x:c r="A696" s="17" t="str">
        <x:f>IF(Students!A696="","",Students!A696)</x:f>
      </x:c>
      <x:c r="B696" s="17" t="str">
        <x:f>IF(A696="","",Students!F696)</x:f>
      </x:c>
      <x:c r="C696" s="17" t="str">
        <x:f>IF(A696="","",Students!G696)</x:f>
      </x:c>
      <x:c r="D696" s="17" t="str">
        <x:f>IF(A696="","",Students!H696)</x:f>
      </x:c>
      <x:c r="E696" s="22" t="str">
        <x:f>IF(A696="","",COUNTIFS(Late_Transactions!E:E,A696,Late_Transactions!K:K,"Recorded"))</x:f>
      </x:c>
      <x:c r="F696" s="21" t="n">
        <x:f>IFERROR(MAXIFS(Late_Transactions!C:C,Late_Transactions!E:E,A696,Late_Transactions!K:K,"Recorded"),"")</x:f>
        <x:v>0</x:v>
      </x:c>
      <x:c r="G696" s="17" t="str">
        <x:f>IF(E696="","",IF(E696&gt;=5,"High",IF(E696&gt;=3,"Watch","OK")))</x:f>
      </x:c>
    </x:row>
    <x:row r="697">
      <x:c r="A697" s="17" t="str">
        <x:f>IF(Students!A697="","",Students!A697)</x:f>
      </x:c>
      <x:c r="B697" s="17" t="str">
        <x:f>IF(A697="","",Students!F697)</x:f>
      </x:c>
      <x:c r="C697" s="17" t="str">
        <x:f>IF(A697="","",Students!G697)</x:f>
      </x:c>
      <x:c r="D697" s="17" t="str">
        <x:f>IF(A697="","",Students!H697)</x:f>
      </x:c>
      <x:c r="E697" s="22" t="str">
        <x:f>IF(A697="","",COUNTIFS(Late_Transactions!E:E,A697,Late_Transactions!K:K,"Recorded"))</x:f>
      </x:c>
      <x:c r="F697" s="21" t="n">
        <x:f>IFERROR(MAXIFS(Late_Transactions!C:C,Late_Transactions!E:E,A697,Late_Transactions!K:K,"Recorded"),"")</x:f>
        <x:v>0</x:v>
      </x:c>
      <x:c r="G697" s="17" t="str">
        <x:f>IF(E697="","",IF(E697&gt;=5,"High",IF(E697&gt;=3,"Watch","OK")))</x:f>
      </x:c>
    </x:row>
    <x:row r="698">
      <x:c r="A698" s="17" t="str">
        <x:f>IF(Students!A698="","",Students!A698)</x:f>
      </x:c>
      <x:c r="B698" s="17" t="str">
        <x:f>IF(A698="","",Students!F698)</x:f>
      </x:c>
      <x:c r="C698" s="17" t="str">
        <x:f>IF(A698="","",Students!G698)</x:f>
      </x:c>
      <x:c r="D698" s="17" t="str">
        <x:f>IF(A698="","",Students!H698)</x:f>
      </x:c>
      <x:c r="E698" s="22" t="str">
        <x:f>IF(A698="","",COUNTIFS(Late_Transactions!E:E,A698,Late_Transactions!K:K,"Recorded"))</x:f>
      </x:c>
      <x:c r="F698" s="21" t="n">
        <x:f>IFERROR(MAXIFS(Late_Transactions!C:C,Late_Transactions!E:E,A698,Late_Transactions!K:K,"Recorded"),"")</x:f>
        <x:v>0</x:v>
      </x:c>
      <x:c r="G698" s="17" t="str">
        <x:f>IF(E698="","",IF(E698&gt;=5,"High",IF(E698&gt;=3,"Watch","OK")))</x:f>
      </x:c>
    </x:row>
    <x:row r="699">
      <x:c r="A699" s="17" t="str">
        <x:f>IF(Students!A699="","",Students!A699)</x:f>
      </x:c>
      <x:c r="B699" s="17" t="str">
        <x:f>IF(A699="","",Students!F699)</x:f>
      </x:c>
      <x:c r="C699" s="17" t="str">
        <x:f>IF(A699="","",Students!G699)</x:f>
      </x:c>
      <x:c r="D699" s="17" t="str">
        <x:f>IF(A699="","",Students!H699)</x:f>
      </x:c>
      <x:c r="E699" s="22" t="str">
        <x:f>IF(A699="","",COUNTIFS(Late_Transactions!E:E,A699,Late_Transactions!K:K,"Recorded"))</x:f>
      </x:c>
      <x:c r="F699" s="21" t="n">
        <x:f>IFERROR(MAXIFS(Late_Transactions!C:C,Late_Transactions!E:E,A699,Late_Transactions!K:K,"Recorded"),"")</x:f>
        <x:v>0</x:v>
      </x:c>
      <x:c r="G699" s="17" t="str">
        <x:f>IF(E699="","",IF(E699&gt;=5,"High",IF(E699&gt;=3,"Watch","OK")))</x:f>
      </x:c>
    </x:row>
    <x:row r="700">
      <x:c r="A700" s="17" t="str">
        <x:f>IF(Students!A700="","",Students!A700)</x:f>
      </x:c>
      <x:c r="B700" s="17" t="str">
        <x:f>IF(A700="","",Students!F700)</x:f>
      </x:c>
      <x:c r="C700" s="17" t="str">
        <x:f>IF(A700="","",Students!G700)</x:f>
      </x:c>
      <x:c r="D700" s="17" t="str">
        <x:f>IF(A700="","",Students!H700)</x:f>
      </x:c>
      <x:c r="E700" s="22" t="str">
        <x:f>IF(A700="","",COUNTIFS(Late_Transactions!E:E,A700,Late_Transactions!K:K,"Recorded"))</x:f>
      </x:c>
      <x:c r="F700" s="21" t="n">
        <x:f>IFERROR(MAXIFS(Late_Transactions!C:C,Late_Transactions!E:E,A700,Late_Transactions!K:K,"Recorded"),"")</x:f>
        <x:v>0</x:v>
      </x:c>
      <x:c r="G700" s="17" t="str">
        <x:f>IF(E700="","",IF(E700&gt;=5,"High",IF(E700&gt;=3,"Watch","OK")))</x:f>
      </x:c>
    </x:row>
    <x:row r="701">
      <x:c r="A701" s="17" t="str">
        <x:f>IF(Students!A701="","",Students!A701)</x:f>
      </x:c>
      <x:c r="B701" s="17" t="str">
        <x:f>IF(A701="","",Students!F701)</x:f>
      </x:c>
      <x:c r="C701" s="17" t="str">
        <x:f>IF(A701="","",Students!G701)</x:f>
      </x:c>
      <x:c r="D701" s="17" t="str">
        <x:f>IF(A701="","",Students!H701)</x:f>
      </x:c>
      <x:c r="E701" s="22" t="str">
        <x:f>IF(A701="","",COUNTIFS(Late_Transactions!E:E,A701,Late_Transactions!K:K,"Recorded"))</x:f>
      </x:c>
      <x:c r="F701" s="21" t="n">
        <x:f>IFERROR(MAXIFS(Late_Transactions!C:C,Late_Transactions!E:E,A701,Late_Transactions!K:K,"Recorded"),"")</x:f>
        <x:v>0</x:v>
      </x:c>
      <x:c r="G701" s="17" t="str">
        <x:f>IF(E701="","",IF(E701&gt;=5,"High",IF(E701&gt;=3,"Watch","OK")))</x:f>
      </x:c>
    </x:row>
    <x:row r="702">
      <x:c r="A702" s="17" t="str">
        <x:f>IF(Students!A702="","",Students!A702)</x:f>
      </x:c>
      <x:c r="B702" s="17" t="str">
        <x:f>IF(A702="","",Students!F702)</x:f>
      </x:c>
      <x:c r="C702" s="17" t="str">
        <x:f>IF(A702="","",Students!G702)</x:f>
      </x:c>
      <x:c r="D702" s="17" t="str">
        <x:f>IF(A702="","",Students!H702)</x:f>
      </x:c>
      <x:c r="E702" s="22" t="str">
        <x:f>IF(A702="","",COUNTIFS(Late_Transactions!E:E,A702,Late_Transactions!K:K,"Recorded"))</x:f>
      </x:c>
      <x:c r="F702" s="21" t="n">
        <x:f>IFERROR(MAXIFS(Late_Transactions!C:C,Late_Transactions!E:E,A702,Late_Transactions!K:K,"Recorded"),"")</x:f>
        <x:v>0</x:v>
      </x:c>
      <x:c r="G702" s="17" t="str">
        <x:f>IF(E702="","",IF(E702&gt;=5,"High",IF(E702&gt;=3,"Watch","OK")))</x:f>
      </x:c>
    </x:row>
    <x:row r="703">
      <x:c r="A703" s="17" t="str">
        <x:f>IF(Students!A703="","",Students!A703)</x:f>
      </x:c>
      <x:c r="B703" s="17" t="str">
        <x:f>IF(A703="","",Students!F703)</x:f>
      </x:c>
      <x:c r="C703" s="17" t="str">
        <x:f>IF(A703="","",Students!G703)</x:f>
      </x:c>
      <x:c r="D703" s="17" t="str">
        <x:f>IF(A703="","",Students!H703)</x:f>
      </x:c>
      <x:c r="E703" s="22" t="str">
        <x:f>IF(A703="","",COUNTIFS(Late_Transactions!E:E,A703,Late_Transactions!K:K,"Recorded"))</x:f>
      </x:c>
      <x:c r="F703" s="21" t="n">
        <x:f>IFERROR(MAXIFS(Late_Transactions!C:C,Late_Transactions!E:E,A703,Late_Transactions!K:K,"Recorded"),"")</x:f>
        <x:v>0</x:v>
      </x:c>
      <x:c r="G703" s="17" t="str">
        <x:f>IF(E703="","",IF(E703&gt;=5,"High",IF(E703&gt;=3,"Watch","OK")))</x:f>
      </x:c>
    </x:row>
    <x:row r="704">
      <x:c r="A704" s="17" t="str">
        <x:f>IF(Students!A704="","",Students!A704)</x:f>
      </x:c>
      <x:c r="B704" s="17" t="str">
        <x:f>IF(A704="","",Students!F704)</x:f>
      </x:c>
      <x:c r="C704" s="17" t="str">
        <x:f>IF(A704="","",Students!G704)</x:f>
      </x:c>
      <x:c r="D704" s="17" t="str">
        <x:f>IF(A704="","",Students!H704)</x:f>
      </x:c>
      <x:c r="E704" s="22" t="str">
        <x:f>IF(A704="","",COUNTIFS(Late_Transactions!E:E,A704,Late_Transactions!K:K,"Recorded"))</x:f>
      </x:c>
      <x:c r="F704" s="21" t="n">
        <x:f>IFERROR(MAXIFS(Late_Transactions!C:C,Late_Transactions!E:E,A704,Late_Transactions!K:K,"Recorded"),"")</x:f>
        <x:v>0</x:v>
      </x:c>
      <x:c r="G704" s="17" t="str">
        <x:f>IF(E704="","",IF(E704&gt;=5,"High",IF(E704&gt;=3,"Watch","OK")))</x:f>
      </x:c>
    </x:row>
    <x:row r="705">
      <x:c r="A705" s="17" t="str">
        <x:f>IF(Students!A705="","",Students!A705)</x:f>
      </x:c>
      <x:c r="B705" s="17" t="str">
        <x:f>IF(A705="","",Students!F705)</x:f>
      </x:c>
      <x:c r="C705" s="17" t="str">
        <x:f>IF(A705="","",Students!G705)</x:f>
      </x:c>
      <x:c r="D705" s="17" t="str">
        <x:f>IF(A705="","",Students!H705)</x:f>
      </x:c>
      <x:c r="E705" s="22" t="str">
        <x:f>IF(A705="","",COUNTIFS(Late_Transactions!E:E,A705,Late_Transactions!K:K,"Recorded"))</x:f>
      </x:c>
      <x:c r="F705" s="21" t="n">
        <x:f>IFERROR(MAXIFS(Late_Transactions!C:C,Late_Transactions!E:E,A705,Late_Transactions!K:K,"Recorded"),"")</x:f>
        <x:v>0</x:v>
      </x:c>
      <x:c r="G705" s="17" t="str">
        <x:f>IF(E705="","",IF(E705&gt;=5,"High",IF(E705&gt;=3,"Watch","OK")))</x:f>
      </x:c>
    </x:row>
    <x:row r="706">
      <x:c r="A706" s="17" t="str">
        <x:f>IF(Students!A706="","",Students!A706)</x:f>
      </x:c>
      <x:c r="B706" s="17" t="str">
        <x:f>IF(A706="","",Students!F706)</x:f>
      </x:c>
      <x:c r="C706" s="17" t="str">
        <x:f>IF(A706="","",Students!G706)</x:f>
      </x:c>
      <x:c r="D706" s="17" t="str">
        <x:f>IF(A706="","",Students!H706)</x:f>
      </x:c>
      <x:c r="E706" s="22" t="str">
        <x:f>IF(A706="","",COUNTIFS(Late_Transactions!E:E,A706,Late_Transactions!K:K,"Recorded"))</x:f>
      </x:c>
      <x:c r="F706" s="21" t="n">
        <x:f>IFERROR(MAXIFS(Late_Transactions!C:C,Late_Transactions!E:E,A706,Late_Transactions!K:K,"Recorded"),"")</x:f>
        <x:v>0</x:v>
      </x:c>
      <x:c r="G706" s="17" t="str">
        <x:f>IF(E706="","",IF(E706&gt;=5,"High",IF(E706&gt;=3,"Watch","OK")))</x:f>
      </x:c>
    </x:row>
    <x:row r="707">
      <x:c r="A707" s="17" t="str">
        <x:f>IF(Students!A707="","",Students!A707)</x:f>
      </x:c>
      <x:c r="B707" s="17" t="str">
        <x:f>IF(A707="","",Students!F707)</x:f>
      </x:c>
      <x:c r="C707" s="17" t="str">
        <x:f>IF(A707="","",Students!G707)</x:f>
      </x:c>
      <x:c r="D707" s="17" t="str">
        <x:f>IF(A707="","",Students!H707)</x:f>
      </x:c>
      <x:c r="E707" s="22" t="str">
        <x:f>IF(A707="","",COUNTIFS(Late_Transactions!E:E,A707,Late_Transactions!K:K,"Recorded"))</x:f>
      </x:c>
      <x:c r="F707" s="21" t="n">
        <x:f>IFERROR(MAXIFS(Late_Transactions!C:C,Late_Transactions!E:E,A707,Late_Transactions!K:K,"Recorded"),"")</x:f>
        <x:v>0</x:v>
      </x:c>
      <x:c r="G707" s="17" t="str">
        <x:f>IF(E707="","",IF(E707&gt;=5,"High",IF(E707&gt;=3,"Watch","OK")))</x:f>
      </x:c>
    </x:row>
    <x:row r="708">
      <x:c r="A708" s="17" t="str">
        <x:f>IF(Students!A708="","",Students!A708)</x:f>
      </x:c>
      <x:c r="B708" s="17" t="str">
        <x:f>IF(A708="","",Students!F708)</x:f>
      </x:c>
      <x:c r="C708" s="17" t="str">
        <x:f>IF(A708="","",Students!G708)</x:f>
      </x:c>
      <x:c r="D708" s="17" t="str">
        <x:f>IF(A708="","",Students!H708)</x:f>
      </x:c>
      <x:c r="E708" s="22" t="str">
        <x:f>IF(A708="","",COUNTIFS(Late_Transactions!E:E,A708,Late_Transactions!K:K,"Recorded"))</x:f>
      </x:c>
      <x:c r="F708" s="21" t="n">
        <x:f>IFERROR(MAXIFS(Late_Transactions!C:C,Late_Transactions!E:E,A708,Late_Transactions!K:K,"Recorded"),"")</x:f>
        <x:v>0</x:v>
      </x:c>
      <x:c r="G708" s="17" t="str">
        <x:f>IF(E708="","",IF(E708&gt;=5,"High",IF(E708&gt;=3,"Watch","OK")))</x:f>
      </x:c>
    </x:row>
    <x:row r="709">
      <x:c r="A709" s="17" t="str">
        <x:f>IF(Students!A709="","",Students!A709)</x:f>
      </x:c>
      <x:c r="B709" s="17" t="str">
        <x:f>IF(A709="","",Students!F709)</x:f>
      </x:c>
      <x:c r="C709" s="17" t="str">
        <x:f>IF(A709="","",Students!G709)</x:f>
      </x:c>
      <x:c r="D709" s="17" t="str">
        <x:f>IF(A709="","",Students!H709)</x:f>
      </x:c>
      <x:c r="E709" s="22" t="str">
        <x:f>IF(A709="","",COUNTIFS(Late_Transactions!E:E,A709,Late_Transactions!K:K,"Recorded"))</x:f>
      </x:c>
      <x:c r="F709" s="21" t="n">
        <x:f>IFERROR(MAXIFS(Late_Transactions!C:C,Late_Transactions!E:E,A709,Late_Transactions!K:K,"Recorded"),"")</x:f>
        <x:v>0</x:v>
      </x:c>
      <x:c r="G709" s="17" t="str">
        <x:f>IF(E709="","",IF(E709&gt;=5,"High",IF(E709&gt;=3,"Watch","OK")))</x:f>
      </x:c>
    </x:row>
    <x:row r="710">
      <x:c r="A710" s="17" t="str">
        <x:f>IF(Students!A710="","",Students!A710)</x:f>
      </x:c>
      <x:c r="B710" s="17" t="str">
        <x:f>IF(A710="","",Students!F710)</x:f>
      </x:c>
      <x:c r="C710" s="17" t="str">
        <x:f>IF(A710="","",Students!G710)</x:f>
      </x:c>
      <x:c r="D710" s="17" t="str">
        <x:f>IF(A710="","",Students!H710)</x:f>
      </x:c>
      <x:c r="E710" s="22" t="str">
        <x:f>IF(A710="","",COUNTIFS(Late_Transactions!E:E,A710,Late_Transactions!K:K,"Recorded"))</x:f>
      </x:c>
      <x:c r="F710" s="21" t="n">
        <x:f>IFERROR(MAXIFS(Late_Transactions!C:C,Late_Transactions!E:E,A710,Late_Transactions!K:K,"Recorded"),"")</x:f>
        <x:v>0</x:v>
      </x:c>
      <x:c r="G710" s="17" t="str">
        <x:f>IF(E710="","",IF(E710&gt;=5,"High",IF(E710&gt;=3,"Watch","OK")))</x:f>
      </x:c>
    </x:row>
    <x:row r="711">
      <x:c r="A711" s="17" t="str">
        <x:f>IF(Students!A711="","",Students!A711)</x:f>
      </x:c>
      <x:c r="B711" s="17" t="str">
        <x:f>IF(A711="","",Students!F711)</x:f>
      </x:c>
      <x:c r="C711" s="17" t="str">
        <x:f>IF(A711="","",Students!G711)</x:f>
      </x:c>
      <x:c r="D711" s="17" t="str">
        <x:f>IF(A711="","",Students!H711)</x:f>
      </x:c>
      <x:c r="E711" s="22" t="str">
        <x:f>IF(A711="","",COUNTIFS(Late_Transactions!E:E,A711,Late_Transactions!K:K,"Recorded"))</x:f>
      </x:c>
      <x:c r="F711" s="21" t="n">
        <x:f>IFERROR(MAXIFS(Late_Transactions!C:C,Late_Transactions!E:E,A711,Late_Transactions!K:K,"Recorded"),"")</x:f>
        <x:v>0</x:v>
      </x:c>
      <x:c r="G711" s="17" t="str">
        <x:f>IF(E711="","",IF(E711&gt;=5,"High",IF(E711&gt;=3,"Watch","OK")))</x:f>
      </x:c>
    </x:row>
    <x:row r="712">
      <x:c r="A712" s="17" t="str">
        <x:f>IF(Students!A712="","",Students!A712)</x:f>
      </x:c>
      <x:c r="B712" s="17" t="str">
        <x:f>IF(A712="","",Students!F712)</x:f>
      </x:c>
      <x:c r="C712" s="17" t="str">
        <x:f>IF(A712="","",Students!G712)</x:f>
      </x:c>
      <x:c r="D712" s="17" t="str">
        <x:f>IF(A712="","",Students!H712)</x:f>
      </x:c>
      <x:c r="E712" s="22" t="str">
        <x:f>IF(A712="","",COUNTIFS(Late_Transactions!E:E,A712,Late_Transactions!K:K,"Recorded"))</x:f>
      </x:c>
      <x:c r="F712" s="21" t="n">
        <x:f>IFERROR(MAXIFS(Late_Transactions!C:C,Late_Transactions!E:E,A712,Late_Transactions!K:K,"Recorded"),"")</x:f>
        <x:v>0</x:v>
      </x:c>
      <x:c r="G712" s="17" t="str">
        <x:f>IF(E712="","",IF(E712&gt;=5,"High",IF(E712&gt;=3,"Watch","OK")))</x:f>
      </x:c>
    </x:row>
    <x:row r="713">
      <x:c r="A713" s="17" t="str">
        <x:f>IF(Students!A713="","",Students!A713)</x:f>
      </x:c>
      <x:c r="B713" s="17" t="str">
        <x:f>IF(A713="","",Students!F713)</x:f>
      </x:c>
      <x:c r="C713" s="17" t="str">
        <x:f>IF(A713="","",Students!G713)</x:f>
      </x:c>
      <x:c r="D713" s="17" t="str">
        <x:f>IF(A713="","",Students!H713)</x:f>
      </x:c>
      <x:c r="E713" s="22" t="str">
        <x:f>IF(A713="","",COUNTIFS(Late_Transactions!E:E,A713,Late_Transactions!K:K,"Recorded"))</x:f>
      </x:c>
      <x:c r="F713" s="21" t="n">
        <x:f>IFERROR(MAXIFS(Late_Transactions!C:C,Late_Transactions!E:E,A713,Late_Transactions!K:K,"Recorded"),"")</x:f>
        <x:v>0</x:v>
      </x:c>
      <x:c r="G713" s="17" t="str">
        <x:f>IF(E713="","",IF(E713&gt;=5,"High",IF(E713&gt;=3,"Watch","OK")))</x:f>
      </x:c>
    </x:row>
    <x:row r="714">
      <x:c r="A714" s="17" t="str">
        <x:f>IF(Students!A714="","",Students!A714)</x:f>
      </x:c>
      <x:c r="B714" s="17" t="str">
        <x:f>IF(A714="","",Students!F714)</x:f>
      </x:c>
      <x:c r="C714" s="17" t="str">
        <x:f>IF(A714="","",Students!G714)</x:f>
      </x:c>
      <x:c r="D714" s="17" t="str">
        <x:f>IF(A714="","",Students!H714)</x:f>
      </x:c>
      <x:c r="E714" s="22" t="str">
        <x:f>IF(A714="","",COUNTIFS(Late_Transactions!E:E,A714,Late_Transactions!K:K,"Recorded"))</x:f>
      </x:c>
      <x:c r="F714" s="21" t="n">
        <x:f>IFERROR(MAXIFS(Late_Transactions!C:C,Late_Transactions!E:E,A714,Late_Transactions!K:K,"Recorded"),"")</x:f>
        <x:v>0</x:v>
      </x:c>
      <x:c r="G714" s="17" t="str">
        <x:f>IF(E714="","",IF(E714&gt;=5,"High",IF(E714&gt;=3,"Watch","OK")))</x:f>
      </x:c>
    </x:row>
    <x:row r="715">
      <x:c r="A715" s="17" t="str">
        <x:f>IF(Students!A715="","",Students!A715)</x:f>
      </x:c>
      <x:c r="B715" s="17" t="str">
        <x:f>IF(A715="","",Students!F715)</x:f>
      </x:c>
      <x:c r="C715" s="17" t="str">
        <x:f>IF(A715="","",Students!G715)</x:f>
      </x:c>
      <x:c r="D715" s="17" t="str">
        <x:f>IF(A715="","",Students!H715)</x:f>
      </x:c>
      <x:c r="E715" s="22" t="str">
        <x:f>IF(A715="","",COUNTIFS(Late_Transactions!E:E,A715,Late_Transactions!K:K,"Recorded"))</x:f>
      </x:c>
      <x:c r="F715" s="21" t="n">
        <x:f>IFERROR(MAXIFS(Late_Transactions!C:C,Late_Transactions!E:E,A715,Late_Transactions!K:K,"Recorded"),"")</x:f>
        <x:v>0</x:v>
      </x:c>
      <x:c r="G715" s="17" t="str">
        <x:f>IF(E715="","",IF(E715&gt;=5,"High",IF(E715&gt;=3,"Watch","OK")))</x:f>
      </x:c>
    </x:row>
    <x:row r="716">
      <x:c r="A716" s="17" t="str">
        <x:f>IF(Students!A716="","",Students!A716)</x:f>
      </x:c>
      <x:c r="B716" s="17" t="str">
        <x:f>IF(A716="","",Students!F716)</x:f>
      </x:c>
      <x:c r="C716" s="17" t="str">
        <x:f>IF(A716="","",Students!G716)</x:f>
      </x:c>
      <x:c r="D716" s="17" t="str">
        <x:f>IF(A716="","",Students!H716)</x:f>
      </x:c>
      <x:c r="E716" s="22" t="str">
        <x:f>IF(A716="","",COUNTIFS(Late_Transactions!E:E,A716,Late_Transactions!K:K,"Recorded"))</x:f>
      </x:c>
      <x:c r="F716" s="21" t="n">
        <x:f>IFERROR(MAXIFS(Late_Transactions!C:C,Late_Transactions!E:E,A716,Late_Transactions!K:K,"Recorded"),"")</x:f>
        <x:v>0</x:v>
      </x:c>
      <x:c r="G716" s="17" t="str">
        <x:f>IF(E716="","",IF(E716&gt;=5,"High",IF(E716&gt;=3,"Watch","OK")))</x:f>
      </x:c>
    </x:row>
    <x:row r="717">
      <x:c r="A717" s="17" t="str">
        <x:f>IF(Students!A717="","",Students!A717)</x:f>
      </x:c>
      <x:c r="B717" s="17" t="str">
        <x:f>IF(A717="","",Students!F717)</x:f>
      </x:c>
      <x:c r="C717" s="17" t="str">
        <x:f>IF(A717="","",Students!G717)</x:f>
      </x:c>
      <x:c r="D717" s="17" t="str">
        <x:f>IF(A717="","",Students!H717)</x:f>
      </x:c>
      <x:c r="E717" s="22" t="str">
        <x:f>IF(A717="","",COUNTIFS(Late_Transactions!E:E,A717,Late_Transactions!K:K,"Recorded"))</x:f>
      </x:c>
      <x:c r="F717" s="21" t="n">
        <x:f>IFERROR(MAXIFS(Late_Transactions!C:C,Late_Transactions!E:E,A717,Late_Transactions!K:K,"Recorded"),"")</x:f>
        <x:v>0</x:v>
      </x:c>
      <x:c r="G717" s="17" t="str">
        <x:f>IF(E717="","",IF(E717&gt;=5,"High",IF(E717&gt;=3,"Watch","OK")))</x:f>
      </x:c>
    </x:row>
    <x:row r="718">
      <x:c r="A718" s="17" t="str">
        <x:f>IF(Students!A718="","",Students!A718)</x:f>
      </x:c>
      <x:c r="B718" s="17" t="str">
        <x:f>IF(A718="","",Students!F718)</x:f>
      </x:c>
      <x:c r="C718" s="17" t="str">
        <x:f>IF(A718="","",Students!G718)</x:f>
      </x:c>
      <x:c r="D718" s="17" t="str">
        <x:f>IF(A718="","",Students!H718)</x:f>
      </x:c>
      <x:c r="E718" s="22" t="str">
        <x:f>IF(A718="","",COUNTIFS(Late_Transactions!E:E,A718,Late_Transactions!K:K,"Recorded"))</x:f>
      </x:c>
      <x:c r="F718" s="21" t="n">
        <x:f>IFERROR(MAXIFS(Late_Transactions!C:C,Late_Transactions!E:E,A718,Late_Transactions!K:K,"Recorded"),"")</x:f>
        <x:v>0</x:v>
      </x:c>
      <x:c r="G718" s="17" t="str">
        <x:f>IF(E718="","",IF(E718&gt;=5,"High",IF(E718&gt;=3,"Watch","OK")))</x:f>
      </x:c>
    </x:row>
    <x:row r="719">
      <x:c r="A719" s="17" t="str">
        <x:f>IF(Students!A719="","",Students!A719)</x:f>
      </x:c>
      <x:c r="B719" s="17" t="str">
        <x:f>IF(A719="","",Students!F719)</x:f>
      </x:c>
      <x:c r="C719" s="17" t="str">
        <x:f>IF(A719="","",Students!G719)</x:f>
      </x:c>
      <x:c r="D719" s="17" t="str">
        <x:f>IF(A719="","",Students!H719)</x:f>
      </x:c>
      <x:c r="E719" s="22" t="str">
        <x:f>IF(A719="","",COUNTIFS(Late_Transactions!E:E,A719,Late_Transactions!K:K,"Recorded"))</x:f>
      </x:c>
      <x:c r="F719" s="21" t="n">
        <x:f>IFERROR(MAXIFS(Late_Transactions!C:C,Late_Transactions!E:E,A719,Late_Transactions!K:K,"Recorded"),"")</x:f>
        <x:v>0</x:v>
      </x:c>
      <x:c r="G719" s="17" t="str">
        <x:f>IF(E719="","",IF(E719&gt;=5,"High",IF(E719&gt;=3,"Watch","OK")))</x:f>
      </x:c>
    </x:row>
    <x:row r="720">
      <x:c r="A720" s="17" t="str">
        <x:f>IF(Students!A720="","",Students!A720)</x:f>
      </x:c>
      <x:c r="B720" s="17" t="str">
        <x:f>IF(A720="","",Students!F720)</x:f>
      </x:c>
      <x:c r="C720" s="17" t="str">
        <x:f>IF(A720="","",Students!G720)</x:f>
      </x:c>
      <x:c r="D720" s="17" t="str">
        <x:f>IF(A720="","",Students!H720)</x:f>
      </x:c>
      <x:c r="E720" s="22" t="str">
        <x:f>IF(A720="","",COUNTIFS(Late_Transactions!E:E,A720,Late_Transactions!K:K,"Recorded"))</x:f>
      </x:c>
      <x:c r="F720" s="21" t="n">
        <x:f>IFERROR(MAXIFS(Late_Transactions!C:C,Late_Transactions!E:E,A720,Late_Transactions!K:K,"Recorded"),"")</x:f>
        <x:v>0</x:v>
      </x:c>
      <x:c r="G720" s="17" t="str">
        <x:f>IF(E720="","",IF(E720&gt;=5,"High",IF(E720&gt;=3,"Watch","OK")))</x:f>
      </x:c>
    </x:row>
    <x:row r="721">
      <x:c r="A721" s="17" t="str">
        <x:f>IF(Students!A721="","",Students!A721)</x:f>
      </x:c>
      <x:c r="B721" s="17" t="str">
        <x:f>IF(A721="","",Students!F721)</x:f>
      </x:c>
      <x:c r="C721" s="17" t="str">
        <x:f>IF(A721="","",Students!G721)</x:f>
      </x:c>
      <x:c r="D721" s="17" t="str">
        <x:f>IF(A721="","",Students!H721)</x:f>
      </x:c>
      <x:c r="E721" s="22" t="str">
        <x:f>IF(A721="","",COUNTIFS(Late_Transactions!E:E,A721,Late_Transactions!K:K,"Recorded"))</x:f>
      </x:c>
      <x:c r="F721" s="21" t="n">
        <x:f>IFERROR(MAXIFS(Late_Transactions!C:C,Late_Transactions!E:E,A721,Late_Transactions!K:K,"Recorded"),"")</x:f>
        <x:v>0</x:v>
      </x:c>
      <x:c r="G721" s="17" t="str">
        <x:f>IF(E721="","",IF(E721&gt;=5,"High",IF(E721&gt;=3,"Watch","OK")))</x:f>
      </x:c>
    </x:row>
    <x:row r="722">
      <x:c r="A722" s="17" t="str">
        <x:f>IF(Students!A722="","",Students!A722)</x:f>
      </x:c>
      <x:c r="B722" s="17" t="str">
        <x:f>IF(A722="","",Students!F722)</x:f>
      </x:c>
      <x:c r="C722" s="17" t="str">
        <x:f>IF(A722="","",Students!G722)</x:f>
      </x:c>
      <x:c r="D722" s="17" t="str">
        <x:f>IF(A722="","",Students!H722)</x:f>
      </x:c>
      <x:c r="E722" s="22" t="str">
        <x:f>IF(A722="","",COUNTIFS(Late_Transactions!E:E,A722,Late_Transactions!K:K,"Recorded"))</x:f>
      </x:c>
      <x:c r="F722" s="21" t="n">
        <x:f>IFERROR(MAXIFS(Late_Transactions!C:C,Late_Transactions!E:E,A722,Late_Transactions!K:K,"Recorded"),"")</x:f>
        <x:v>0</x:v>
      </x:c>
      <x:c r="G722" s="17" t="str">
        <x:f>IF(E722="","",IF(E722&gt;=5,"High",IF(E722&gt;=3,"Watch","OK")))</x:f>
      </x:c>
    </x:row>
    <x:row r="723">
      <x:c r="A723" s="17" t="str">
        <x:f>IF(Students!A723="","",Students!A723)</x:f>
      </x:c>
      <x:c r="B723" s="17" t="str">
        <x:f>IF(A723="","",Students!F723)</x:f>
      </x:c>
      <x:c r="C723" s="17" t="str">
        <x:f>IF(A723="","",Students!G723)</x:f>
      </x:c>
      <x:c r="D723" s="17" t="str">
        <x:f>IF(A723="","",Students!H723)</x:f>
      </x:c>
      <x:c r="E723" s="22" t="str">
        <x:f>IF(A723="","",COUNTIFS(Late_Transactions!E:E,A723,Late_Transactions!K:K,"Recorded"))</x:f>
      </x:c>
      <x:c r="F723" s="21" t="n">
        <x:f>IFERROR(MAXIFS(Late_Transactions!C:C,Late_Transactions!E:E,A723,Late_Transactions!K:K,"Recorded"),"")</x:f>
        <x:v>0</x:v>
      </x:c>
      <x:c r="G723" s="17" t="str">
        <x:f>IF(E723="","",IF(E723&gt;=5,"High",IF(E723&gt;=3,"Watch","OK")))</x:f>
      </x:c>
    </x:row>
    <x:row r="724">
      <x:c r="A724" s="17" t="str">
        <x:f>IF(Students!A724="","",Students!A724)</x:f>
      </x:c>
      <x:c r="B724" s="17" t="str">
        <x:f>IF(A724="","",Students!F724)</x:f>
      </x:c>
      <x:c r="C724" s="17" t="str">
        <x:f>IF(A724="","",Students!G724)</x:f>
      </x:c>
      <x:c r="D724" s="17" t="str">
        <x:f>IF(A724="","",Students!H724)</x:f>
      </x:c>
      <x:c r="E724" s="22" t="str">
        <x:f>IF(A724="","",COUNTIFS(Late_Transactions!E:E,A724,Late_Transactions!K:K,"Recorded"))</x:f>
      </x:c>
      <x:c r="F724" s="21" t="n">
        <x:f>IFERROR(MAXIFS(Late_Transactions!C:C,Late_Transactions!E:E,A724,Late_Transactions!K:K,"Recorded"),"")</x:f>
        <x:v>0</x:v>
      </x:c>
      <x:c r="G724" s="17" t="str">
        <x:f>IF(E724="","",IF(E724&gt;=5,"High",IF(E724&gt;=3,"Watch","OK")))</x:f>
      </x:c>
    </x:row>
    <x:row r="725">
      <x:c r="A725" s="17" t="str">
        <x:f>IF(Students!A725="","",Students!A725)</x:f>
      </x:c>
      <x:c r="B725" s="17" t="str">
        <x:f>IF(A725="","",Students!F725)</x:f>
      </x:c>
      <x:c r="C725" s="17" t="str">
        <x:f>IF(A725="","",Students!G725)</x:f>
      </x:c>
      <x:c r="D725" s="17" t="str">
        <x:f>IF(A725="","",Students!H725)</x:f>
      </x:c>
      <x:c r="E725" s="22" t="str">
        <x:f>IF(A725="","",COUNTIFS(Late_Transactions!E:E,A725,Late_Transactions!K:K,"Recorded"))</x:f>
      </x:c>
      <x:c r="F725" s="21" t="n">
        <x:f>IFERROR(MAXIFS(Late_Transactions!C:C,Late_Transactions!E:E,A725,Late_Transactions!K:K,"Recorded"),"")</x:f>
        <x:v>0</x:v>
      </x:c>
      <x:c r="G725" s="17" t="str">
        <x:f>IF(E725="","",IF(E725&gt;=5,"High",IF(E725&gt;=3,"Watch","OK")))</x:f>
      </x:c>
    </x:row>
    <x:row r="726">
      <x:c r="A726" s="17" t="str">
        <x:f>IF(Students!A726="","",Students!A726)</x:f>
      </x:c>
      <x:c r="B726" s="17" t="str">
        <x:f>IF(A726="","",Students!F726)</x:f>
      </x:c>
      <x:c r="C726" s="17" t="str">
        <x:f>IF(A726="","",Students!G726)</x:f>
      </x:c>
      <x:c r="D726" s="17" t="str">
        <x:f>IF(A726="","",Students!H726)</x:f>
      </x:c>
      <x:c r="E726" s="22" t="str">
        <x:f>IF(A726="","",COUNTIFS(Late_Transactions!E:E,A726,Late_Transactions!K:K,"Recorded"))</x:f>
      </x:c>
      <x:c r="F726" s="21" t="n">
        <x:f>IFERROR(MAXIFS(Late_Transactions!C:C,Late_Transactions!E:E,A726,Late_Transactions!K:K,"Recorded"),"")</x:f>
        <x:v>0</x:v>
      </x:c>
      <x:c r="G726" s="17" t="str">
        <x:f>IF(E726="","",IF(E726&gt;=5,"High",IF(E726&gt;=3,"Watch","OK")))</x:f>
      </x:c>
    </x:row>
    <x:row r="727">
      <x:c r="A727" s="17" t="str">
        <x:f>IF(Students!A727="","",Students!A727)</x:f>
      </x:c>
      <x:c r="B727" s="17" t="str">
        <x:f>IF(A727="","",Students!F727)</x:f>
      </x:c>
      <x:c r="C727" s="17" t="str">
        <x:f>IF(A727="","",Students!G727)</x:f>
      </x:c>
      <x:c r="D727" s="17" t="str">
        <x:f>IF(A727="","",Students!H727)</x:f>
      </x:c>
      <x:c r="E727" s="22" t="str">
        <x:f>IF(A727="","",COUNTIFS(Late_Transactions!E:E,A727,Late_Transactions!K:K,"Recorded"))</x:f>
      </x:c>
      <x:c r="F727" s="21" t="n">
        <x:f>IFERROR(MAXIFS(Late_Transactions!C:C,Late_Transactions!E:E,A727,Late_Transactions!K:K,"Recorded"),"")</x:f>
        <x:v>0</x:v>
      </x:c>
      <x:c r="G727" s="17" t="str">
        <x:f>IF(E727="","",IF(E727&gt;=5,"High",IF(E727&gt;=3,"Watch","OK")))</x:f>
      </x:c>
    </x:row>
    <x:row r="728">
      <x:c r="A728" s="17" t="str">
        <x:f>IF(Students!A728="","",Students!A728)</x:f>
      </x:c>
      <x:c r="B728" s="17" t="str">
        <x:f>IF(A728="","",Students!F728)</x:f>
      </x:c>
      <x:c r="C728" s="17" t="str">
        <x:f>IF(A728="","",Students!G728)</x:f>
      </x:c>
      <x:c r="D728" s="17" t="str">
        <x:f>IF(A728="","",Students!H728)</x:f>
      </x:c>
      <x:c r="E728" s="22" t="str">
        <x:f>IF(A728="","",COUNTIFS(Late_Transactions!E:E,A728,Late_Transactions!K:K,"Recorded"))</x:f>
      </x:c>
      <x:c r="F728" s="21" t="n">
        <x:f>IFERROR(MAXIFS(Late_Transactions!C:C,Late_Transactions!E:E,A728,Late_Transactions!K:K,"Recorded"),"")</x:f>
        <x:v>0</x:v>
      </x:c>
      <x:c r="G728" s="17" t="str">
        <x:f>IF(E728="","",IF(E728&gt;=5,"High",IF(E728&gt;=3,"Watch","OK")))</x:f>
      </x:c>
    </x:row>
    <x:row r="729">
      <x:c r="A729" s="17" t="str">
        <x:f>IF(Students!A729="","",Students!A729)</x:f>
      </x:c>
      <x:c r="B729" s="17" t="str">
        <x:f>IF(A729="","",Students!F729)</x:f>
      </x:c>
      <x:c r="C729" s="17" t="str">
        <x:f>IF(A729="","",Students!G729)</x:f>
      </x:c>
      <x:c r="D729" s="17" t="str">
        <x:f>IF(A729="","",Students!H729)</x:f>
      </x:c>
      <x:c r="E729" s="22" t="str">
        <x:f>IF(A729="","",COUNTIFS(Late_Transactions!E:E,A729,Late_Transactions!K:K,"Recorded"))</x:f>
      </x:c>
      <x:c r="F729" s="21" t="n">
        <x:f>IFERROR(MAXIFS(Late_Transactions!C:C,Late_Transactions!E:E,A729,Late_Transactions!K:K,"Recorded"),"")</x:f>
        <x:v>0</x:v>
      </x:c>
      <x:c r="G729" s="17" t="str">
        <x:f>IF(E729="","",IF(E729&gt;=5,"High",IF(E729&gt;=3,"Watch","OK")))</x:f>
      </x:c>
    </x:row>
    <x:row r="730">
      <x:c r="A730" s="17" t="str">
        <x:f>IF(Students!A730="","",Students!A730)</x:f>
      </x:c>
      <x:c r="B730" s="17" t="str">
        <x:f>IF(A730="","",Students!F730)</x:f>
      </x:c>
      <x:c r="C730" s="17" t="str">
        <x:f>IF(A730="","",Students!G730)</x:f>
      </x:c>
      <x:c r="D730" s="17" t="str">
        <x:f>IF(A730="","",Students!H730)</x:f>
      </x:c>
      <x:c r="E730" s="22" t="str">
        <x:f>IF(A730="","",COUNTIFS(Late_Transactions!E:E,A730,Late_Transactions!K:K,"Recorded"))</x:f>
      </x:c>
      <x:c r="F730" s="21" t="n">
        <x:f>IFERROR(MAXIFS(Late_Transactions!C:C,Late_Transactions!E:E,A730,Late_Transactions!K:K,"Recorded"),"")</x:f>
        <x:v>0</x:v>
      </x:c>
      <x:c r="G730" s="17" t="str">
        <x:f>IF(E730="","",IF(E730&gt;=5,"High",IF(E730&gt;=3,"Watch","OK")))</x:f>
      </x:c>
    </x:row>
    <x:row r="731">
      <x:c r="A731" s="17" t="str">
        <x:f>IF(Students!A731="","",Students!A731)</x:f>
      </x:c>
      <x:c r="B731" s="17" t="str">
        <x:f>IF(A731="","",Students!F731)</x:f>
      </x:c>
      <x:c r="C731" s="17" t="str">
        <x:f>IF(A731="","",Students!G731)</x:f>
      </x:c>
      <x:c r="D731" s="17" t="str">
        <x:f>IF(A731="","",Students!H731)</x:f>
      </x:c>
      <x:c r="E731" s="22" t="str">
        <x:f>IF(A731="","",COUNTIFS(Late_Transactions!E:E,A731,Late_Transactions!K:K,"Recorded"))</x:f>
      </x:c>
      <x:c r="F731" s="21" t="n">
        <x:f>IFERROR(MAXIFS(Late_Transactions!C:C,Late_Transactions!E:E,A731,Late_Transactions!K:K,"Recorded"),"")</x:f>
        <x:v>0</x:v>
      </x:c>
      <x:c r="G731" s="17" t="str">
        <x:f>IF(E731="","",IF(E731&gt;=5,"High",IF(E731&gt;=3,"Watch","OK")))</x:f>
      </x:c>
    </x:row>
    <x:row r="732">
      <x:c r="A732" s="17" t="str">
        <x:f>IF(Students!A732="","",Students!A732)</x:f>
      </x:c>
      <x:c r="B732" s="17" t="str">
        <x:f>IF(A732="","",Students!F732)</x:f>
      </x:c>
      <x:c r="C732" s="17" t="str">
        <x:f>IF(A732="","",Students!G732)</x:f>
      </x:c>
      <x:c r="D732" s="17" t="str">
        <x:f>IF(A732="","",Students!H732)</x:f>
      </x:c>
      <x:c r="E732" s="22" t="str">
        <x:f>IF(A732="","",COUNTIFS(Late_Transactions!E:E,A732,Late_Transactions!K:K,"Recorded"))</x:f>
      </x:c>
      <x:c r="F732" s="21" t="n">
        <x:f>IFERROR(MAXIFS(Late_Transactions!C:C,Late_Transactions!E:E,A732,Late_Transactions!K:K,"Recorded"),"")</x:f>
        <x:v>0</x:v>
      </x:c>
      <x:c r="G732" s="17" t="str">
        <x:f>IF(E732="","",IF(E732&gt;=5,"High",IF(E732&gt;=3,"Watch","OK")))</x:f>
      </x:c>
    </x:row>
    <x:row r="733">
      <x:c r="A733" s="17" t="str">
        <x:f>IF(Students!A733="","",Students!A733)</x:f>
      </x:c>
      <x:c r="B733" s="17" t="str">
        <x:f>IF(A733="","",Students!F733)</x:f>
      </x:c>
      <x:c r="C733" s="17" t="str">
        <x:f>IF(A733="","",Students!G733)</x:f>
      </x:c>
      <x:c r="D733" s="17" t="str">
        <x:f>IF(A733="","",Students!H733)</x:f>
      </x:c>
      <x:c r="E733" s="22" t="str">
        <x:f>IF(A733="","",COUNTIFS(Late_Transactions!E:E,A733,Late_Transactions!K:K,"Recorded"))</x:f>
      </x:c>
      <x:c r="F733" s="21" t="n">
        <x:f>IFERROR(MAXIFS(Late_Transactions!C:C,Late_Transactions!E:E,A733,Late_Transactions!K:K,"Recorded"),"")</x:f>
        <x:v>0</x:v>
      </x:c>
      <x:c r="G733" s="17" t="str">
        <x:f>IF(E733="","",IF(E733&gt;=5,"High",IF(E733&gt;=3,"Watch","OK")))</x:f>
      </x:c>
    </x:row>
    <x:row r="734">
      <x:c r="A734" s="17" t="str">
        <x:f>IF(Students!A734="","",Students!A734)</x:f>
      </x:c>
      <x:c r="B734" s="17" t="str">
        <x:f>IF(A734="","",Students!F734)</x:f>
      </x:c>
      <x:c r="C734" s="17" t="str">
        <x:f>IF(A734="","",Students!G734)</x:f>
      </x:c>
      <x:c r="D734" s="17" t="str">
        <x:f>IF(A734="","",Students!H734)</x:f>
      </x:c>
      <x:c r="E734" s="22" t="str">
        <x:f>IF(A734="","",COUNTIFS(Late_Transactions!E:E,A734,Late_Transactions!K:K,"Recorded"))</x:f>
      </x:c>
      <x:c r="F734" s="21" t="n">
        <x:f>IFERROR(MAXIFS(Late_Transactions!C:C,Late_Transactions!E:E,A734,Late_Transactions!K:K,"Recorded"),"")</x:f>
        <x:v>0</x:v>
      </x:c>
      <x:c r="G734" s="17" t="str">
        <x:f>IF(E734="","",IF(E734&gt;=5,"High",IF(E734&gt;=3,"Watch","OK")))</x:f>
      </x:c>
    </x:row>
    <x:row r="735">
      <x:c r="A735" s="17" t="str">
        <x:f>IF(Students!A735="","",Students!A735)</x:f>
      </x:c>
      <x:c r="B735" s="17" t="str">
        <x:f>IF(A735="","",Students!F735)</x:f>
      </x:c>
      <x:c r="C735" s="17" t="str">
        <x:f>IF(A735="","",Students!G735)</x:f>
      </x:c>
      <x:c r="D735" s="17" t="str">
        <x:f>IF(A735="","",Students!H735)</x:f>
      </x:c>
      <x:c r="E735" s="22" t="str">
        <x:f>IF(A735="","",COUNTIFS(Late_Transactions!E:E,A735,Late_Transactions!K:K,"Recorded"))</x:f>
      </x:c>
      <x:c r="F735" s="21" t="n">
        <x:f>IFERROR(MAXIFS(Late_Transactions!C:C,Late_Transactions!E:E,A735,Late_Transactions!K:K,"Recorded"),"")</x:f>
        <x:v>0</x:v>
      </x:c>
      <x:c r="G735" s="17" t="str">
        <x:f>IF(E735="","",IF(E735&gt;=5,"High",IF(E735&gt;=3,"Watch","OK")))</x:f>
      </x:c>
    </x:row>
    <x:row r="736">
      <x:c r="A736" s="17" t="str">
        <x:f>IF(Students!A736="","",Students!A736)</x:f>
      </x:c>
      <x:c r="B736" s="17" t="str">
        <x:f>IF(A736="","",Students!F736)</x:f>
      </x:c>
      <x:c r="C736" s="17" t="str">
        <x:f>IF(A736="","",Students!G736)</x:f>
      </x:c>
      <x:c r="D736" s="17" t="str">
        <x:f>IF(A736="","",Students!H736)</x:f>
      </x:c>
      <x:c r="E736" s="22" t="str">
        <x:f>IF(A736="","",COUNTIFS(Late_Transactions!E:E,A736,Late_Transactions!K:K,"Recorded"))</x:f>
      </x:c>
      <x:c r="F736" s="21" t="n">
        <x:f>IFERROR(MAXIFS(Late_Transactions!C:C,Late_Transactions!E:E,A736,Late_Transactions!K:K,"Recorded"),"")</x:f>
        <x:v>0</x:v>
      </x:c>
      <x:c r="G736" s="17" t="str">
        <x:f>IF(E736="","",IF(E736&gt;=5,"High",IF(E736&gt;=3,"Watch","OK")))</x:f>
      </x:c>
    </x:row>
    <x:row r="737">
      <x:c r="A737" s="17" t="str">
        <x:f>IF(Students!A737="","",Students!A737)</x:f>
      </x:c>
      <x:c r="B737" s="17" t="str">
        <x:f>IF(A737="","",Students!F737)</x:f>
      </x:c>
      <x:c r="C737" s="17" t="str">
        <x:f>IF(A737="","",Students!G737)</x:f>
      </x:c>
      <x:c r="D737" s="17" t="str">
        <x:f>IF(A737="","",Students!H737)</x:f>
      </x:c>
      <x:c r="E737" s="22" t="str">
        <x:f>IF(A737="","",COUNTIFS(Late_Transactions!E:E,A737,Late_Transactions!K:K,"Recorded"))</x:f>
      </x:c>
      <x:c r="F737" s="21" t="n">
        <x:f>IFERROR(MAXIFS(Late_Transactions!C:C,Late_Transactions!E:E,A737,Late_Transactions!K:K,"Recorded"),"")</x:f>
        <x:v>0</x:v>
      </x:c>
      <x:c r="G737" s="17" t="str">
        <x:f>IF(E737="","",IF(E737&gt;=5,"High",IF(E737&gt;=3,"Watch","OK")))</x:f>
      </x:c>
    </x:row>
    <x:row r="738">
      <x:c r="A738" s="17" t="str">
        <x:f>IF(Students!A738="","",Students!A738)</x:f>
      </x:c>
      <x:c r="B738" s="17" t="str">
        <x:f>IF(A738="","",Students!F738)</x:f>
      </x:c>
      <x:c r="C738" s="17" t="str">
        <x:f>IF(A738="","",Students!G738)</x:f>
      </x:c>
      <x:c r="D738" s="17" t="str">
        <x:f>IF(A738="","",Students!H738)</x:f>
      </x:c>
      <x:c r="E738" s="22" t="str">
        <x:f>IF(A738="","",COUNTIFS(Late_Transactions!E:E,A738,Late_Transactions!K:K,"Recorded"))</x:f>
      </x:c>
      <x:c r="F738" s="21" t="n">
        <x:f>IFERROR(MAXIFS(Late_Transactions!C:C,Late_Transactions!E:E,A738,Late_Transactions!K:K,"Recorded"),"")</x:f>
        <x:v>0</x:v>
      </x:c>
      <x:c r="G738" s="17" t="str">
        <x:f>IF(E738="","",IF(E738&gt;=5,"High",IF(E738&gt;=3,"Watch","OK")))</x:f>
      </x:c>
    </x:row>
    <x:row r="739">
      <x:c r="A739" s="17" t="str">
        <x:f>IF(Students!A739="","",Students!A739)</x:f>
      </x:c>
      <x:c r="B739" s="17" t="str">
        <x:f>IF(A739="","",Students!F739)</x:f>
      </x:c>
      <x:c r="C739" s="17" t="str">
        <x:f>IF(A739="","",Students!G739)</x:f>
      </x:c>
      <x:c r="D739" s="17" t="str">
        <x:f>IF(A739="","",Students!H739)</x:f>
      </x:c>
      <x:c r="E739" s="22" t="str">
        <x:f>IF(A739="","",COUNTIFS(Late_Transactions!E:E,A739,Late_Transactions!K:K,"Recorded"))</x:f>
      </x:c>
      <x:c r="F739" s="21" t="n">
        <x:f>IFERROR(MAXIFS(Late_Transactions!C:C,Late_Transactions!E:E,A739,Late_Transactions!K:K,"Recorded"),"")</x:f>
        <x:v>0</x:v>
      </x:c>
      <x:c r="G739" s="17" t="str">
        <x:f>IF(E739="","",IF(E739&gt;=5,"High",IF(E739&gt;=3,"Watch","OK")))</x:f>
      </x:c>
    </x:row>
    <x:row r="740">
      <x:c r="A740" s="17" t="str">
        <x:f>IF(Students!A740="","",Students!A740)</x:f>
      </x:c>
      <x:c r="B740" s="17" t="str">
        <x:f>IF(A740="","",Students!F740)</x:f>
      </x:c>
      <x:c r="C740" s="17" t="str">
        <x:f>IF(A740="","",Students!G740)</x:f>
      </x:c>
      <x:c r="D740" s="17" t="str">
        <x:f>IF(A740="","",Students!H740)</x:f>
      </x:c>
      <x:c r="E740" s="22" t="str">
        <x:f>IF(A740="","",COUNTIFS(Late_Transactions!E:E,A740,Late_Transactions!K:K,"Recorded"))</x:f>
      </x:c>
      <x:c r="F740" s="21" t="n">
        <x:f>IFERROR(MAXIFS(Late_Transactions!C:C,Late_Transactions!E:E,A740,Late_Transactions!K:K,"Recorded"),"")</x:f>
        <x:v>0</x:v>
      </x:c>
      <x:c r="G740" s="17" t="str">
        <x:f>IF(E740="","",IF(E740&gt;=5,"High",IF(E740&gt;=3,"Watch","OK")))</x:f>
      </x:c>
    </x:row>
    <x:row r="741">
      <x:c r="A741" s="17" t="str">
        <x:f>IF(Students!A741="","",Students!A741)</x:f>
      </x:c>
      <x:c r="B741" s="17" t="str">
        <x:f>IF(A741="","",Students!F741)</x:f>
      </x:c>
      <x:c r="C741" s="17" t="str">
        <x:f>IF(A741="","",Students!G741)</x:f>
      </x:c>
      <x:c r="D741" s="17" t="str">
        <x:f>IF(A741="","",Students!H741)</x:f>
      </x:c>
      <x:c r="E741" s="22" t="str">
        <x:f>IF(A741="","",COUNTIFS(Late_Transactions!E:E,A741,Late_Transactions!K:K,"Recorded"))</x:f>
      </x:c>
      <x:c r="F741" s="21" t="n">
        <x:f>IFERROR(MAXIFS(Late_Transactions!C:C,Late_Transactions!E:E,A741,Late_Transactions!K:K,"Recorded"),"")</x:f>
        <x:v>0</x:v>
      </x:c>
      <x:c r="G741" s="17" t="str">
        <x:f>IF(E741="","",IF(E741&gt;=5,"High",IF(E741&gt;=3,"Watch","OK")))</x:f>
      </x:c>
    </x:row>
    <x:row r="742">
      <x:c r="A742" s="17" t="str">
        <x:f>IF(Students!A742="","",Students!A742)</x:f>
      </x:c>
      <x:c r="B742" s="17" t="str">
        <x:f>IF(A742="","",Students!F742)</x:f>
      </x:c>
      <x:c r="C742" s="17" t="str">
        <x:f>IF(A742="","",Students!G742)</x:f>
      </x:c>
      <x:c r="D742" s="17" t="str">
        <x:f>IF(A742="","",Students!H742)</x:f>
      </x:c>
      <x:c r="E742" s="22" t="str">
        <x:f>IF(A742="","",COUNTIFS(Late_Transactions!E:E,A742,Late_Transactions!K:K,"Recorded"))</x:f>
      </x:c>
      <x:c r="F742" s="21" t="n">
        <x:f>IFERROR(MAXIFS(Late_Transactions!C:C,Late_Transactions!E:E,A742,Late_Transactions!K:K,"Recorded"),"")</x:f>
        <x:v>0</x:v>
      </x:c>
      <x:c r="G742" s="17" t="str">
        <x:f>IF(E742="","",IF(E742&gt;=5,"High",IF(E742&gt;=3,"Watch","OK")))</x:f>
      </x:c>
    </x:row>
    <x:row r="743">
      <x:c r="A743" s="17" t="str">
        <x:f>IF(Students!A743="","",Students!A743)</x:f>
      </x:c>
      <x:c r="B743" s="17" t="str">
        <x:f>IF(A743="","",Students!F743)</x:f>
      </x:c>
      <x:c r="C743" s="17" t="str">
        <x:f>IF(A743="","",Students!G743)</x:f>
      </x:c>
      <x:c r="D743" s="17" t="str">
        <x:f>IF(A743="","",Students!H743)</x:f>
      </x:c>
      <x:c r="E743" s="22" t="str">
        <x:f>IF(A743="","",COUNTIFS(Late_Transactions!E:E,A743,Late_Transactions!K:K,"Recorded"))</x:f>
      </x:c>
      <x:c r="F743" s="21" t="n">
        <x:f>IFERROR(MAXIFS(Late_Transactions!C:C,Late_Transactions!E:E,A743,Late_Transactions!K:K,"Recorded"),"")</x:f>
        <x:v>0</x:v>
      </x:c>
      <x:c r="G743" s="17" t="str">
        <x:f>IF(E743="","",IF(E743&gt;=5,"High",IF(E743&gt;=3,"Watch","OK")))</x:f>
      </x:c>
    </x:row>
    <x:row r="744">
      <x:c r="A744" s="17" t="str">
        <x:f>IF(Students!A744="","",Students!A744)</x:f>
      </x:c>
      <x:c r="B744" s="17" t="str">
        <x:f>IF(A744="","",Students!F744)</x:f>
      </x:c>
      <x:c r="C744" s="17" t="str">
        <x:f>IF(A744="","",Students!G744)</x:f>
      </x:c>
      <x:c r="D744" s="17" t="str">
        <x:f>IF(A744="","",Students!H744)</x:f>
      </x:c>
      <x:c r="E744" s="22" t="str">
        <x:f>IF(A744="","",COUNTIFS(Late_Transactions!E:E,A744,Late_Transactions!K:K,"Recorded"))</x:f>
      </x:c>
      <x:c r="F744" s="21" t="n">
        <x:f>IFERROR(MAXIFS(Late_Transactions!C:C,Late_Transactions!E:E,A744,Late_Transactions!K:K,"Recorded"),"")</x:f>
        <x:v>0</x:v>
      </x:c>
      <x:c r="G744" s="17" t="str">
        <x:f>IF(E744="","",IF(E744&gt;=5,"High",IF(E744&gt;=3,"Watch","OK")))</x:f>
      </x:c>
    </x:row>
    <x:row r="745">
      <x:c r="A745" s="17" t="str">
        <x:f>IF(Students!A745="","",Students!A745)</x:f>
      </x:c>
      <x:c r="B745" s="17" t="str">
        <x:f>IF(A745="","",Students!F745)</x:f>
      </x:c>
      <x:c r="C745" s="17" t="str">
        <x:f>IF(A745="","",Students!G745)</x:f>
      </x:c>
      <x:c r="D745" s="17" t="str">
        <x:f>IF(A745="","",Students!H745)</x:f>
      </x:c>
      <x:c r="E745" s="22" t="str">
        <x:f>IF(A745="","",COUNTIFS(Late_Transactions!E:E,A745,Late_Transactions!K:K,"Recorded"))</x:f>
      </x:c>
      <x:c r="F745" s="21" t="n">
        <x:f>IFERROR(MAXIFS(Late_Transactions!C:C,Late_Transactions!E:E,A745,Late_Transactions!K:K,"Recorded"),"")</x:f>
        <x:v>0</x:v>
      </x:c>
      <x:c r="G745" s="17" t="str">
        <x:f>IF(E745="","",IF(E745&gt;=5,"High",IF(E745&gt;=3,"Watch","OK")))</x:f>
      </x:c>
    </x:row>
    <x:row r="746">
      <x:c r="A746" s="17" t="str">
        <x:f>IF(Students!A746="","",Students!A746)</x:f>
      </x:c>
      <x:c r="B746" s="17" t="str">
        <x:f>IF(A746="","",Students!F746)</x:f>
      </x:c>
      <x:c r="C746" s="17" t="str">
        <x:f>IF(A746="","",Students!G746)</x:f>
      </x:c>
      <x:c r="D746" s="17" t="str">
        <x:f>IF(A746="","",Students!H746)</x:f>
      </x:c>
      <x:c r="E746" s="22" t="str">
        <x:f>IF(A746="","",COUNTIFS(Late_Transactions!E:E,A746,Late_Transactions!K:K,"Recorded"))</x:f>
      </x:c>
      <x:c r="F746" s="21" t="n">
        <x:f>IFERROR(MAXIFS(Late_Transactions!C:C,Late_Transactions!E:E,A746,Late_Transactions!K:K,"Recorded"),"")</x:f>
        <x:v>0</x:v>
      </x:c>
      <x:c r="G746" s="17" t="str">
        <x:f>IF(E746="","",IF(E746&gt;=5,"High",IF(E746&gt;=3,"Watch","OK")))</x:f>
      </x:c>
    </x:row>
    <x:row r="747">
      <x:c r="A747" s="17" t="str">
        <x:f>IF(Students!A747="","",Students!A747)</x:f>
      </x:c>
      <x:c r="B747" s="17" t="str">
        <x:f>IF(A747="","",Students!F747)</x:f>
      </x:c>
      <x:c r="C747" s="17" t="str">
        <x:f>IF(A747="","",Students!G747)</x:f>
      </x:c>
      <x:c r="D747" s="17" t="str">
        <x:f>IF(A747="","",Students!H747)</x:f>
      </x:c>
      <x:c r="E747" s="22" t="str">
        <x:f>IF(A747="","",COUNTIFS(Late_Transactions!E:E,A747,Late_Transactions!K:K,"Recorded"))</x:f>
      </x:c>
      <x:c r="F747" s="21" t="n">
        <x:f>IFERROR(MAXIFS(Late_Transactions!C:C,Late_Transactions!E:E,A747,Late_Transactions!K:K,"Recorded"),"")</x:f>
        <x:v>0</x:v>
      </x:c>
      <x:c r="G747" s="17" t="str">
        <x:f>IF(E747="","",IF(E747&gt;=5,"High",IF(E747&gt;=3,"Watch","OK")))</x:f>
      </x:c>
    </x:row>
    <x:row r="748">
      <x:c r="A748" s="17" t="str">
        <x:f>IF(Students!A748="","",Students!A748)</x:f>
      </x:c>
      <x:c r="B748" s="17" t="str">
        <x:f>IF(A748="","",Students!F748)</x:f>
      </x:c>
      <x:c r="C748" s="17" t="str">
        <x:f>IF(A748="","",Students!G748)</x:f>
      </x:c>
      <x:c r="D748" s="17" t="str">
        <x:f>IF(A748="","",Students!H748)</x:f>
      </x:c>
      <x:c r="E748" s="22" t="str">
        <x:f>IF(A748="","",COUNTIFS(Late_Transactions!E:E,A748,Late_Transactions!K:K,"Recorded"))</x:f>
      </x:c>
      <x:c r="F748" s="21" t="n">
        <x:f>IFERROR(MAXIFS(Late_Transactions!C:C,Late_Transactions!E:E,A748,Late_Transactions!K:K,"Recorded"),"")</x:f>
        <x:v>0</x:v>
      </x:c>
      <x:c r="G748" s="17" t="str">
        <x:f>IF(E748="","",IF(E748&gt;=5,"High",IF(E748&gt;=3,"Watch","OK")))</x:f>
      </x:c>
    </x:row>
    <x:row r="749">
      <x:c r="A749" s="17" t="str">
        <x:f>IF(Students!A749="","",Students!A749)</x:f>
      </x:c>
      <x:c r="B749" s="17" t="str">
        <x:f>IF(A749="","",Students!F749)</x:f>
      </x:c>
      <x:c r="C749" s="17" t="str">
        <x:f>IF(A749="","",Students!G749)</x:f>
      </x:c>
      <x:c r="D749" s="17" t="str">
        <x:f>IF(A749="","",Students!H749)</x:f>
      </x:c>
      <x:c r="E749" s="22" t="str">
        <x:f>IF(A749="","",COUNTIFS(Late_Transactions!E:E,A749,Late_Transactions!K:K,"Recorded"))</x:f>
      </x:c>
      <x:c r="F749" s="21" t="n">
        <x:f>IFERROR(MAXIFS(Late_Transactions!C:C,Late_Transactions!E:E,A749,Late_Transactions!K:K,"Recorded"),"")</x:f>
        <x:v>0</x:v>
      </x:c>
      <x:c r="G749" s="17" t="str">
        <x:f>IF(E749="","",IF(E749&gt;=5,"High",IF(E749&gt;=3,"Watch","OK")))</x:f>
      </x:c>
    </x:row>
    <x:row r="750">
      <x:c r="A750" s="17" t="str">
        <x:f>IF(Students!A750="","",Students!A750)</x:f>
      </x:c>
      <x:c r="B750" s="17" t="str">
        <x:f>IF(A750="","",Students!F750)</x:f>
      </x:c>
      <x:c r="C750" s="17" t="str">
        <x:f>IF(A750="","",Students!G750)</x:f>
      </x:c>
      <x:c r="D750" s="17" t="str">
        <x:f>IF(A750="","",Students!H750)</x:f>
      </x:c>
      <x:c r="E750" s="22" t="str">
        <x:f>IF(A750="","",COUNTIFS(Late_Transactions!E:E,A750,Late_Transactions!K:K,"Recorded"))</x:f>
      </x:c>
      <x:c r="F750" s="21" t="n">
        <x:f>IFERROR(MAXIFS(Late_Transactions!C:C,Late_Transactions!E:E,A750,Late_Transactions!K:K,"Recorded"),"")</x:f>
        <x:v>0</x:v>
      </x:c>
      <x:c r="G750" s="17" t="str">
        <x:f>IF(E750="","",IF(E750&gt;=5,"High",IF(E750&gt;=3,"Watch","OK")))</x:f>
      </x:c>
    </x:row>
    <x:row r="751">
      <x:c r="A751" s="17" t="str">
        <x:f>IF(Students!A751="","",Students!A751)</x:f>
      </x:c>
      <x:c r="B751" s="17" t="str">
        <x:f>IF(A751="","",Students!F751)</x:f>
      </x:c>
      <x:c r="C751" s="17" t="str">
        <x:f>IF(A751="","",Students!G751)</x:f>
      </x:c>
      <x:c r="D751" s="17" t="str">
        <x:f>IF(A751="","",Students!H751)</x:f>
      </x:c>
      <x:c r="E751" s="22" t="str">
        <x:f>IF(A751="","",COUNTIFS(Late_Transactions!E:E,A751,Late_Transactions!K:K,"Recorded"))</x:f>
      </x:c>
      <x:c r="F751" s="21" t="n">
        <x:f>IFERROR(MAXIFS(Late_Transactions!C:C,Late_Transactions!E:E,A751,Late_Transactions!K:K,"Recorded"),"")</x:f>
        <x:v>0</x:v>
      </x:c>
      <x:c r="G751" s="17" t="str">
        <x:f>IF(E751="","",IF(E751&gt;=5,"High",IF(E751&gt;=3,"Watch","OK")))</x:f>
      </x:c>
    </x:row>
    <x:row r="752">
      <x:c r="A752" s="17" t="str">
        <x:f>IF(Students!A752="","",Students!A752)</x:f>
      </x:c>
      <x:c r="B752" s="17" t="str">
        <x:f>IF(A752="","",Students!F752)</x:f>
      </x:c>
      <x:c r="C752" s="17" t="str">
        <x:f>IF(A752="","",Students!G752)</x:f>
      </x:c>
      <x:c r="D752" s="17" t="str">
        <x:f>IF(A752="","",Students!H752)</x:f>
      </x:c>
      <x:c r="E752" s="22" t="str">
        <x:f>IF(A752="","",COUNTIFS(Late_Transactions!E:E,A752,Late_Transactions!K:K,"Recorded"))</x:f>
      </x:c>
      <x:c r="F752" s="21" t="n">
        <x:f>IFERROR(MAXIFS(Late_Transactions!C:C,Late_Transactions!E:E,A752,Late_Transactions!K:K,"Recorded"),"")</x:f>
        <x:v>0</x:v>
      </x:c>
      <x:c r="G752" s="17" t="str">
        <x:f>IF(E752="","",IF(E752&gt;=5,"High",IF(E752&gt;=3,"Watch","OK")))</x:f>
      </x:c>
    </x:row>
    <x:row r="753">
      <x:c r="A753" s="17" t="str">
        <x:f>IF(Students!A753="","",Students!A753)</x:f>
      </x:c>
      <x:c r="B753" s="17" t="str">
        <x:f>IF(A753="","",Students!F753)</x:f>
      </x:c>
      <x:c r="C753" s="17" t="str">
        <x:f>IF(A753="","",Students!G753)</x:f>
      </x:c>
      <x:c r="D753" s="17" t="str">
        <x:f>IF(A753="","",Students!H753)</x:f>
      </x:c>
      <x:c r="E753" s="22" t="str">
        <x:f>IF(A753="","",COUNTIFS(Late_Transactions!E:E,A753,Late_Transactions!K:K,"Recorded"))</x:f>
      </x:c>
      <x:c r="F753" s="21" t="n">
        <x:f>IFERROR(MAXIFS(Late_Transactions!C:C,Late_Transactions!E:E,A753,Late_Transactions!K:K,"Recorded"),"")</x:f>
        <x:v>0</x:v>
      </x:c>
      <x:c r="G753" s="17" t="str">
        <x:f>IF(E753="","",IF(E753&gt;=5,"High",IF(E753&gt;=3,"Watch","OK")))</x:f>
      </x:c>
    </x:row>
    <x:row r="754">
      <x:c r="A754" s="17" t="str">
        <x:f>IF(Students!A754="","",Students!A754)</x:f>
      </x:c>
      <x:c r="B754" s="17" t="str">
        <x:f>IF(A754="","",Students!F754)</x:f>
      </x:c>
      <x:c r="C754" s="17" t="str">
        <x:f>IF(A754="","",Students!G754)</x:f>
      </x:c>
      <x:c r="D754" s="17" t="str">
        <x:f>IF(A754="","",Students!H754)</x:f>
      </x:c>
      <x:c r="E754" s="22" t="str">
        <x:f>IF(A754="","",COUNTIFS(Late_Transactions!E:E,A754,Late_Transactions!K:K,"Recorded"))</x:f>
      </x:c>
      <x:c r="F754" s="21" t="n">
        <x:f>IFERROR(MAXIFS(Late_Transactions!C:C,Late_Transactions!E:E,A754,Late_Transactions!K:K,"Recorded"),"")</x:f>
        <x:v>0</x:v>
      </x:c>
      <x:c r="G754" s="17" t="str">
        <x:f>IF(E754="","",IF(E754&gt;=5,"High",IF(E754&gt;=3,"Watch","OK")))</x:f>
      </x:c>
    </x:row>
    <x:row r="755">
      <x:c r="A755" s="17" t="str">
        <x:f>IF(Students!A755="","",Students!A755)</x:f>
      </x:c>
      <x:c r="B755" s="17" t="str">
        <x:f>IF(A755="","",Students!F755)</x:f>
      </x:c>
      <x:c r="C755" s="17" t="str">
        <x:f>IF(A755="","",Students!G755)</x:f>
      </x:c>
      <x:c r="D755" s="17" t="str">
        <x:f>IF(A755="","",Students!H755)</x:f>
      </x:c>
      <x:c r="E755" s="22" t="str">
        <x:f>IF(A755="","",COUNTIFS(Late_Transactions!E:E,A755,Late_Transactions!K:K,"Recorded"))</x:f>
      </x:c>
      <x:c r="F755" s="21" t="n">
        <x:f>IFERROR(MAXIFS(Late_Transactions!C:C,Late_Transactions!E:E,A755,Late_Transactions!K:K,"Recorded"),"")</x:f>
        <x:v>0</x:v>
      </x:c>
      <x:c r="G755" s="17" t="str">
        <x:f>IF(E755="","",IF(E755&gt;=5,"High",IF(E755&gt;=3,"Watch","OK")))</x:f>
      </x:c>
    </x:row>
    <x:row r="756">
      <x:c r="A756" s="17" t="str">
        <x:f>IF(Students!A756="","",Students!A756)</x:f>
      </x:c>
      <x:c r="B756" s="17" t="str">
        <x:f>IF(A756="","",Students!F756)</x:f>
      </x:c>
      <x:c r="C756" s="17" t="str">
        <x:f>IF(A756="","",Students!G756)</x:f>
      </x:c>
      <x:c r="D756" s="17" t="str">
        <x:f>IF(A756="","",Students!H756)</x:f>
      </x:c>
      <x:c r="E756" s="22" t="str">
        <x:f>IF(A756="","",COUNTIFS(Late_Transactions!E:E,A756,Late_Transactions!K:K,"Recorded"))</x:f>
      </x:c>
      <x:c r="F756" s="21" t="n">
        <x:f>IFERROR(MAXIFS(Late_Transactions!C:C,Late_Transactions!E:E,A756,Late_Transactions!K:K,"Recorded"),"")</x:f>
        <x:v>0</x:v>
      </x:c>
      <x:c r="G756" s="17" t="str">
        <x:f>IF(E756="","",IF(E756&gt;=5,"High",IF(E756&gt;=3,"Watch","OK")))</x:f>
      </x:c>
    </x:row>
    <x:row r="757">
      <x:c r="A757" s="17" t="str">
        <x:f>IF(Students!A757="","",Students!A757)</x:f>
      </x:c>
      <x:c r="B757" s="17" t="str">
        <x:f>IF(A757="","",Students!F757)</x:f>
      </x:c>
      <x:c r="C757" s="17" t="str">
        <x:f>IF(A757="","",Students!G757)</x:f>
      </x:c>
      <x:c r="D757" s="17" t="str">
        <x:f>IF(A757="","",Students!H757)</x:f>
      </x:c>
      <x:c r="E757" s="22" t="str">
        <x:f>IF(A757="","",COUNTIFS(Late_Transactions!E:E,A757,Late_Transactions!K:K,"Recorded"))</x:f>
      </x:c>
      <x:c r="F757" s="21" t="n">
        <x:f>IFERROR(MAXIFS(Late_Transactions!C:C,Late_Transactions!E:E,A757,Late_Transactions!K:K,"Recorded"),"")</x:f>
        <x:v>0</x:v>
      </x:c>
      <x:c r="G757" s="17" t="str">
        <x:f>IF(E757="","",IF(E757&gt;=5,"High",IF(E757&gt;=3,"Watch","OK")))</x:f>
      </x:c>
    </x:row>
    <x:row r="758">
      <x:c r="A758" s="17" t="str">
        <x:f>IF(Students!A758="","",Students!A758)</x:f>
      </x:c>
      <x:c r="B758" s="17" t="str">
        <x:f>IF(A758="","",Students!F758)</x:f>
      </x:c>
      <x:c r="C758" s="17" t="str">
        <x:f>IF(A758="","",Students!G758)</x:f>
      </x:c>
      <x:c r="D758" s="17" t="str">
        <x:f>IF(A758="","",Students!H758)</x:f>
      </x:c>
      <x:c r="E758" s="22" t="str">
        <x:f>IF(A758="","",COUNTIFS(Late_Transactions!E:E,A758,Late_Transactions!K:K,"Recorded"))</x:f>
      </x:c>
      <x:c r="F758" s="21" t="n">
        <x:f>IFERROR(MAXIFS(Late_Transactions!C:C,Late_Transactions!E:E,A758,Late_Transactions!K:K,"Recorded"),"")</x:f>
        <x:v>0</x:v>
      </x:c>
      <x:c r="G758" s="17" t="str">
        <x:f>IF(E758="","",IF(E758&gt;=5,"High",IF(E758&gt;=3,"Watch","OK")))</x:f>
      </x:c>
    </x:row>
    <x:row r="759">
      <x:c r="A759" s="17" t="str">
        <x:f>IF(Students!A759="","",Students!A759)</x:f>
      </x:c>
      <x:c r="B759" s="17" t="str">
        <x:f>IF(A759="","",Students!F759)</x:f>
      </x:c>
      <x:c r="C759" s="17" t="str">
        <x:f>IF(A759="","",Students!G759)</x:f>
      </x:c>
      <x:c r="D759" s="17" t="str">
        <x:f>IF(A759="","",Students!H759)</x:f>
      </x:c>
      <x:c r="E759" s="22" t="str">
        <x:f>IF(A759="","",COUNTIFS(Late_Transactions!E:E,A759,Late_Transactions!K:K,"Recorded"))</x:f>
      </x:c>
      <x:c r="F759" s="21" t="n">
        <x:f>IFERROR(MAXIFS(Late_Transactions!C:C,Late_Transactions!E:E,A759,Late_Transactions!K:K,"Recorded"),"")</x:f>
        <x:v>0</x:v>
      </x:c>
      <x:c r="G759" s="17" t="str">
        <x:f>IF(E759="","",IF(E759&gt;=5,"High",IF(E759&gt;=3,"Watch","OK")))</x:f>
      </x:c>
    </x:row>
    <x:row r="760">
      <x:c r="A760" s="17" t="str">
        <x:f>IF(Students!A760="","",Students!A760)</x:f>
      </x:c>
      <x:c r="B760" s="17" t="str">
        <x:f>IF(A760="","",Students!F760)</x:f>
      </x:c>
      <x:c r="C760" s="17" t="str">
        <x:f>IF(A760="","",Students!G760)</x:f>
      </x:c>
      <x:c r="D760" s="17" t="str">
        <x:f>IF(A760="","",Students!H760)</x:f>
      </x:c>
      <x:c r="E760" s="22" t="str">
        <x:f>IF(A760="","",COUNTIFS(Late_Transactions!E:E,A760,Late_Transactions!K:K,"Recorded"))</x:f>
      </x:c>
      <x:c r="F760" s="21" t="n">
        <x:f>IFERROR(MAXIFS(Late_Transactions!C:C,Late_Transactions!E:E,A760,Late_Transactions!K:K,"Recorded"),"")</x:f>
        <x:v>0</x:v>
      </x:c>
      <x:c r="G760" s="17" t="str">
        <x:f>IF(E760="","",IF(E760&gt;=5,"High",IF(E760&gt;=3,"Watch","OK")))</x:f>
      </x:c>
    </x:row>
    <x:row r="761">
      <x:c r="A761" s="17" t="str">
        <x:f>IF(Students!A761="","",Students!A761)</x:f>
      </x:c>
      <x:c r="B761" s="17" t="str">
        <x:f>IF(A761="","",Students!F761)</x:f>
      </x:c>
      <x:c r="C761" s="17" t="str">
        <x:f>IF(A761="","",Students!G761)</x:f>
      </x:c>
      <x:c r="D761" s="17" t="str">
        <x:f>IF(A761="","",Students!H761)</x:f>
      </x:c>
      <x:c r="E761" s="22" t="str">
        <x:f>IF(A761="","",COUNTIFS(Late_Transactions!E:E,A761,Late_Transactions!K:K,"Recorded"))</x:f>
      </x:c>
      <x:c r="F761" s="21" t="n">
        <x:f>IFERROR(MAXIFS(Late_Transactions!C:C,Late_Transactions!E:E,A761,Late_Transactions!K:K,"Recorded"),"")</x:f>
        <x:v>0</x:v>
      </x:c>
      <x:c r="G761" s="17" t="str">
        <x:f>IF(E761="","",IF(E761&gt;=5,"High",IF(E761&gt;=3,"Watch","OK")))</x:f>
      </x:c>
    </x:row>
    <x:row r="762">
      <x:c r="A762" s="17" t="str">
        <x:f>IF(Students!A762="","",Students!A762)</x:f>
      </x:c>
      <x:c r="B762" s="17" t="str">
        <x:f>IF(A762="","",Students!F762)</x:f>
      </x:c>
      <x:c r="C762" s="17" t="str">
        <x:f>IF(A762="","",Students!G762)</x:f>
      </x:c>
      <x:c r="D762" s="17" t="str">
        <x:f>IF(A762="","",Students!H762)</x:f>
      </x:c>
      <x:c r="E762" s="22" t="str">
        <x:f>IF(A762="","",COUNTIFS(Late_Transactions!E:E,A762,Late_Transactions!K:K,"Recorded"))</x:f>
      </x:c>
      <x:c r="F762" s="21" t="n">
        <x:f>IFERROR(MAXIFS(Late_Transactions!C:C,Late_Transactions!E:E,A762,Late_Transactions!K:K,"Recorded"),"")</x:f>
        <x:v>0</x:v>
      </x:c>
      <x:c r="G762" s="17" t="str">
        <x:f>IF(E762="","",IF(E762&gt;=5,"High",IF(E762&gt;=3,"Watch","OK")))</x:f>
      </x:c>
    </x:row>
    <x:row r="763">
      <x:c r="A763" s="17" t="str">
        <x:f>IF(Students!A763="","",Students!A763)</x:f>
      </x:c>
      <x:c r="B763" s="17" t="str">
        <x:f>IF(A763="","",Students!F763)</x:f>
      </x:c>
      <x:c r="C763" s="17" t="str">
        <x:f>IF(A763="","",Students!G763)</x:f>
      </x:c>
      <x:c r="D763" s="17" t="str">
        <x:f>IF(A763="","",Students!H763)</x:f>
      </x:c>
      <x:c r="E763" s="22" t="str">
        <x:f>IF(A763="","",COUNTIFS(Late_Transactions!E:E,A763,Late_Transactions!K:K,"Recorded"))</x:f>
      </x:c>
      <x:c r="F763" s="21" t="n">
        <x:f>IFERROR(MAXIFS(Late_Transactions!C:C,Late_Transactions!E:E,A763,Late_Transactions!K:K,"Recorded"),"")</x:f>
        <x:v>0</x:v>
      </x:c>
      <x:c r="G763" s="17" t="str">
        <x:f>IF(E763="","",IF(E763&gt;=5,"High",IF(E763&gt;=3,"Watch","OK")))</x:f>
      </x:c>
    </x:row>
    <x:row r="764">
      <x:c r="A764" s="17" t="str">
        <x:f>IF(Students!A764="","",Students!A764)</x:f>
      </x:c>
      <x:c r="B764" s="17" t="str">
        <x:f>IF(A764="","",Students!F764)</x:f>
      </x:c>
      <x:c r="C764" s="17" t="str">
        <x:f>IF(A764="","",Students!G764)</x:f>
      </x:c>
      <x:c r="D764" s="17" t="str">
        <x:f>IF(A764="","",Students!H764)</x:f>
      </x:c>
      <x:c r="E764" s="22" t="str">
        <x:f>IF(A764="","",COUNTIFS(Late_Transactions!E:E,A764,Late_Transactions!K:K,"Recorded"))</x:f>
      </x:c>
      <x:c r="F764" s="21" t="n">
        <x:f>IFERROR(MAXIFS(Late_Transactions!C:C,Late_Transactions!E:E,A764,Late_Transactions!K:K,"Recorded"),"")</x:f>
        <x:v>0</x:v>
      </x:c>
      <x:c r="G764" s="17" t="str">
        <x:f>IF(E764="","",IF(E764&gt;=5,"High",IF(E764&gt;=3,"Watch","OK")))</x:f>
      </x:c>
    </x:row>
    <x:row r="765">
      <x:c r="A765" s="17" t="str">
        <x:f>IF(Students!A765="","",Students!A765)</x:f>
      </x:c>
      <x:c r="B765" s="17" t="str">
        <x:f>IF(A765="","",Students!F765)</x:f>
      </x:c>
      <x:c r="C765" s="17" t="str">
        <x:f>IF(A765="","",Students!G765)</x:f>
      </x:c>
      <x:c r="D765" s="17" t="str">
        <x:f>IF(A765="","",Students!H765)</x:f>
      </x:c>
      <x:c r="E765" s="22" t="str">
        <x:f>IF(A765="","",COUNTIFS(Late_Transactions!E:E,A765,Late_Transactions!K:K,"Recorded"))</x:f>
      </x:c>
      <x:c r="F765" s="21" t="n">
        <x:f>IFERROR(MAXIFS(Late_Transactions!C:C,Late_Transactions!E:E,A765,Late_Transactions!K:K,"Recorded"),"")</x:f>
        <x:v>0</x:v>
      </x:c>
      <x:c r="G765" s="17" t="str">
        <x:f>IF(E765="","",IF(E765&gt;=5,"High",IF(E765&gt;=3,"Watch","OK")))</x:f>
      </x:c>
    </x:row>
    <x:row r="766">
      <x:c r="A766" s="17" t="str">
        <x:f>IF(Students!A766="","",Students!A766)</x:f>
      </x:c>
      <x:c r="B766" s="17" t="str">
        <x:f>IF(A766="","",Students!F766)</x:f>
      </x:c>
      <x:c r="C766" s="17" t="str">
        <x:f>IF(A766="","",Students!G766)</x:f>
      </x:c>
      <x:c r="D766" s="17" t="str">
        <x:f>IF(A766="","",Students!H766)</x:f>
      </x:c>
      <x:c r="E766" s="22" t="str">
        <x:f>IF(A766="","",COUNTIFS(Late_Transactions!E:E,A766,Late_Transactions!K:K,"Recorded"))</x:f>
      </x:c>
      <x:c r="F766" s="21" t="n">
        <x:f>IFERROR(MAXIFS(Late_Transactions!C:C,Late_Transactions!E:E,A766,Late_Transactions!K:K,"Recorded"),"")</x:f>
        <x:v>0</x:v>
      </x:c>
      <x:c r="G766" s="17" t="str">
        <x:f>IF(E766="","",IF(E766&gt;=5,"High",IF(E766&gt;=3,"Watch","OK")))</x:f>
      </x:c>
    </x:row>
    <x:row r="767">
      <x:c r="A767" s="17" t="str">
        <x:f>IF(Students!A767="","",Students!A767)</x:f>
      </x:c>
      <x:c r="B767" s="17" t="str">
        <x:f>IF(A767="","",Students!F767)</x:f>
      </x:c>
      <x:c r="C767" s="17" t="str">
        <x:f>IF(A767="","",Students!G767)</x:f>
      </x:c>
      <x:c r="D767" s="17" t="str">
        <x:f>IF(A767="","",Students!H767)</x:f>
      </x:c>
      <x:c r="E767" s="22" t="str">
        <x:f>IF(A767="","",COUNTIFS(Late_Transactions!E:E,A767,Late_Transactions!K:K,"Recorded"))</x:f>
      </x:c>
      <x:c r="F767" s="21" t="n">
        <x:f>IFERROR(MAXIFS(Late_Transactions!C:C,Late_Transactions!E:E,A767,Late_Transactions!K:K,"Recorded"),"")</x:f>
        <x:v>0</x:v>
      </x:c>
      <x:c r="G767" s="17" t="str">
        <x:f>IF(E767="","",IF(E767&gt;=5,"High",IF(E767&gt;=3,"Watch","OK")))</x:f>
      </x:c>
    </x:row>
    <x:row r="768">
      <x:c r="A768" s="17" t="str">
        <x:f>IF(Students!A768="","",Students!A768)</x:f>
      </x:c>
      <x:c r="B768" s="17" t="str">
        <x:f>IF(A768="","",Students!F768)</x:f>
      </x:c>
      <x:c r="C768" s="17" t="str">
        <x:f>IF(A768="","",Students!G768)</x:f>
      </x:c>
      <x:c r="D768" s="17" t="str">
        <x:f>IF(A768="","",Students!H768)</x:f>
      </x:c>
      <x:c r="E768" s="22" t="str">
        <x:f>IF(A768="","",COUNTIFS(Late_Transactions!E:E,A768,Late_Transactions!K:K,"Recorded"))</x:f>
      </x:c>
      <x:c r="F768" s="21" t="n">
        <x:f>IFERROR(MAXIFS(Late_Transactions!C:C,Late_Transactions!E:E,A768,Late_Transactions!K:K,"Recorded"),"")</x:f>
        <x:v>0</x:v>
      </x:c>
      <x:c r="G768" s="17" t="str">
        <x:f>IF(E768="","",IF(E768&gt;=5,"High",IF(E768&gt;=3,"Watch","OK")))</x:f>
      </x:c>
    </x:row>
    <x:row r="769">
      <x:c r="A769" s="17" t="str">
        <x:f>IF(Students!A769="","",Students!A769)</x:f>
      </x:c>
      <x:c r="B769" s="17" t="str">
        <x:f>IF(A769="","",Students!F769)</x:f>
      </x:c>
      <x:c r="C769" s="17" t="str">
        <x:f>IF(A769="","",Students!G769)</x:f>
      </x:c>
      <x:c r="D769" s="17" t="str">
        <x:f>IF(A769="","",Students!H769)</x:f>
      </x:c>
      <x:c r="E769" s="22" t="str">
        <x:f>IF(A769="","",COUNTIFS(Late_Transactions!E:E,A769,Late_Transactions!K:K,"Recorded"))</x:f>
      </x:c>
      <x:c r="F769" s="21" t="n">
        <x:f>IFERROR(MAXIFS(Late_Transactions!C:C,Late_Transactions!E:E,A769,Late_Transactions!K:K,"Recorded"),"")</x:f>
        <x:v>0</x:v>
      </x:c>
      <x:c r="G769" s="17" t="str">
        <x:f>IF(E769="","",IF(E769&gt;=5,"High",IF(E769&gt;=3,"Watch","OK")))</x:f>
      </x:c>
    </x:row>
    <x:row r="770">
      <x:c r="A770" s="17" t="str">
        <x:f>IF(Students!A770="","",Students!A770)</x:f>
      </x:c>
      <x:c r="B770" s="17" t="str">
        <x:f>IF(A770="","",Students!F770)</x:f>
      </x:c>
      <x:c r="C770" s="17" t="str">
        <x:f>IF(A770="","",Students!G770)</x:f>
      </x:c>
      <x:c r="D770" s="17" t="str">
        <x:f>IF(A770="","",Students!H770)</x:f>
      </x:c>
      <x:c r="E770" s="22" t="str">
        <x:f>IF(A770="","",COUNTIFS(Late_Transactions!E:E,A770,Late_Transactions!K:K,"Recorded"))</x:f>
      </x:c>
      <x:c r="F770" s="21" t="n">
        <x:f>IFERROR(MAXIFS(Late_Transactions!C:C,Late_Transactions!E:E,A770,Late_Transactions!K:K,"Recorded"),"")</x:f>
        <x:v>0</x:v>
      </x:c>
      <x:c r="G770" s="17" t="str">
        <x:f>IF(E770="","",IF(E770&gt;=5,"High",IF(E770&gt;=3,"Watch","OK")))</x:f>
      </x:c>
    </x:row>
    <x:row r="771">
      <x:c r="A771" s="17" t="str">
        <x:f>IF(Students!A771="","",Students!A771)</x:f>
      </x:c>
      <x:c r="B771" s="17" t="str">
        <x:f>IF(A771="","",Students!F771)</x:f>
      </x:c>
      <x:c r="C771" s="17" t="str">
        <x:f>IF(A771="","",Students!G771)</x:f>
      </x:c>
      <x:c r="D771" s="17" t="str">
        <x:f>IF(A771="","",Students!H771)</x:f>
      </x:c>
      <x:c r="E771" s="22" t="str">
        <x:f>IF(A771="","",COUNTIFS(Late_Transactions!E:E,A771,Late_Transactions!K:K,"Recorded"))</x:f>
      </x:c>
      <x:c r="F771" s="21" t="n">
        <x:f>IFERROR(MAXIFS(Late_Transactions!C:C,Late_Transactions!E:E,A771,Late_Transactions!K:K,"Recorded"),"")</x:f>
        <x:v>0</x:v>
      </x:c>
      <x:c r="G771" s="17" t="str">
        <x:f>IF(E771="","",IF(E771&gt;=5,"High",IF(E771&gt;=3,"Watch","OK")))</x:f>
      </x:c>
    </x:row>
    <x:row r="772">
      <x:c r="A772" s="17" t="str">
        <x:f>IF(Students!A772="","",Students!A772)</x:f>
      </x:c>
      <x:c r="B772" s="17" t="str">
        <x:f>IF(A772="","",Students!F772)</x:f>
      </x:c>
      <x:c r="C772" s="17" t="str">
        <x:f>IF(A772="","",Students!G772)</x:f>
      </x:c>
      <x:c r="D772" s="17" t="str">
        <x:f>IF(A772="","",Students!H772)</x:f>
      </x:c>
      <x:c r="E772" s="22" t="str">
        <x:f>IF(A772="","",COUNTIFS(Late_Transactions!E:E,A772,Late_Transactions!K:K,"Recorded"))</x:f>
      </x:c>
      <x:c r="F772" s="21" t="n">
        <x:f>IFERROR(MAXIFS(Late_Transactions!C:C,Late_Transactions!E:E,A772,Late_Transactions!K:K,"Recorded"),"")</x:f>
        <x:v>0</x:v>
      </x:c>
      <x:c r="G772" s="17" t="str">
        <x:f>IF(E772="","",IF(E772&gt;=5,"High",IF(E772&gt;=3,"Watch","OK")))</x:f>
      </x:c>
    </x:row>
    <x:row r="773">
      <x:c r="A773" s="17" t="str">
        <x:f>IF(Students!A773="","",Students!A773)</x:f>
      </x:c>
      <x:c r="B773" s="17" t="str">
        <x:f>IF(A773="","",Students!F773)</x:f>
      </x:c>
      <x:c r="C773" s="17" t="str">
        <x:f>IF(A773="","",Students!G773)</x:f>
      </x:c>
      <x:c r="D773" s="17" t="str">
        <x:f>IF(A773="","",Students!H773)</x:f>
      </x:c>
      <x:c r="E773" s="22" t="str">
        <x:f>IF(A773="","",COUNTIFS(Late_Transactions!E:E,A773,Late_Transactions!K:K,"Recorded"))</x:f>
      </x:c>
      <x:c r="F773" s="21" t="n">
        <x:f>IFERROR(MAXIFS(Late_Transactions!C:C,Late_Transactions!E:E,A773,Late_Transactions!K:K,"Recorded"),"")</x:f>
        <x:v>0</x:v>
      </x:c>
      <x:c r="G773" s="17" t="str">
        <x:f>IF(E773="","",IF(E773&gt;=5,"High",IF(E773&gt;=3,"Watch","OK")))</x:f>
      </x:c>
    </x:row>
    <x:row r="774">
      <x:c r="A774" s="17" t="str">
        <x:f>IF(Students!A774="","",Students!A774)</x:f>
      </x:c>
      <x:c r="B774" s="17" t="str">
        <x:f>IF(A774="","",Students!F774)</x:f>
      </x:c>
      <x:c r="C774" s="17" t="str">
        <x:f>IF(A774="","",Students!G774)</x:f>
      </x:c>
      <x:c r="D774" s="17" t="str">
        <x:f>IF(A774="","",Students!H774)</x:f>
      </x:c>
      <x:c r="E774" s="22" t="str">
        <x:f>IF(A774="","",COUNTIFS(Late_Transactions!E:E,A774,Late_Transactions!K:K,"Recorded"))</x:f>
      </x:c>
      <x:c r="F774" s="21" t="n">
        <x:f>IFERROR(MAXIFS(Late_Transactions!C:C,Late_Transactions!E:E,A774,Late_Transactions!K:K,"Recorded"),"")</x:f>
        <x:v>0</x:v>
      </x:c>
      <x:c r="G774" s="17" t="str">
        <x:f>IF(E774="","",IF(E774&gt;=5,"High",IF(E774&gt;=3,"Watch","OK")))</x:f>
      </x:c>
    </x:row>
    <x:row r="775">
      <x:c r="A775" s="17" t="str">
        <x:f>IF(Students!A775="","",Students!A775)</x:f>
      </x:c>
      <x:c r="B775" s="17" t="str">
        <x:f>IF(A775="","",Students!F775)</x:f>
      </x:c>
      <x:c r="C775" s="17" t="str">
        <x:f>IF(A775="","",Students!G775)</x:f>
      </x:c>
      <x:c r="D775" s="17" t="str">
        <x:f>IF(A775="","",Students!H775)</x:f>
      </x:c>
      <x:c r="E775" s="22" t="str">
        <x:f>IF(A775="","",COUNTIFS(Late_Transactions!E:E,A775,Late_Transactions!K:K,"Recorded"))</x:f>
      </x:c>
      <x:c r="F775" s="21" t="n">
        <x:f>IFERROR(MAXIFS(Late_Transactions!C:C,Late_Transactions!E:E,A775,Late_Transactions!K:K,"Recorded"),"")</x:f>
        <x:v>0</x:v>
      </x:c>
      <x:c r="G775" s="17" t="str">
        <x:f>IF(E775="","",IF(E775&gt;=5,"High",IF(E775&gt;=3,"Watch","OK")))</x:f>
      </x:c>
    </x:row>
    <x:row r="776">
      <x:c r="A776" s="17" t="str">
        <x:f>IF(Students!A776="","",Students!A776)</x:f>
      </x:c>
      <x:c r="B776" s="17" t="str">
        <x:f>IF(A776="","",Students!F776)</x:f>
      </x:c>
      <x:c r="C776" s="17" t="str">
        <x:f>IF(A776="","",Students!G776)</x:f>
      </x:c>
      <x:c r="D776" s="17" t="str">
        <x:f>IF(A776="","",Students!H776)</x:f>
      </x:c>
      <x:c r="E776" s="22" t="str">
        <x:f>IF(A776="","",COUNTIFS(Late_Transactions!E:E,A776,Late_Transactions!K:K,"Recorded"))</x:f>
      </x:c>
      <x:c r="F776" s="21" t="n">
        <x:f>IFERROR(MAXIFS(Late_Transactions!C:C,Late_Transactions!E:E,A776,Late_Transactions!K:K,"Recorded"),"")</x:f>
        <x:v>0</x:v>
      </x:c>
      <x:c r="G776" s="17" t="str">
        <x:f>IF(E776="","",IF(E776&gt;=5,"High",IF(E776&gt;=3,"Watch","OK")))</x:f>
      </x:c>
    </x:row>
    <x:row r="777">
      <x:c r="A777" s="17" t="str">
        <x:f>IF(Students!A777="","",Students!A777)</x:f>
      </x:c>
      <x:c r="B777" s="17" t="str">
        <x:f>IF(A777="","",Students!F777)</x:f>
      </x:c>
      <x:c r="C777" s="17" t="str">
        <x:f>IF(A777="","",Students!G777)</x:f>
      </x:c>
      <x:c r="D777" s="17" t="str">
        <x:f>IF(A777="","",Students!H777)</x:f>
      </x:c>
      <x:c r="E777" s="22" t="str">
        <x:f>IF(A777="","",COUNTIFS(Late_Transactions!E:E,A777,Late_Transactions!K:K,"Recorded"))</x:f>
      </x:c>
      <x:c r="F777" s="21" t="n">
        <x:f>IFERROR(MAXIFS(Late_Transactions!C:C,Late_Transactions!E:E,A777,Late_Transactions!K:K,"Recorded"),"")</x:f>
        <x:v>0</x:v>
      </x:c>
      <x:c r="G777" s="17" t="str">
        <x:f>IF(E777="","",IF(E777&gt;=5,"High",IF(E777&gt;=3,"Watch","OK")))</x:f>
      </x:c>
    </x:row>
    <x:row r="778">
      <x:c r="A778" s="17" t="str">
        <x:f>IF(Students!A778="","",Students!A778)</x:f>
      </x:c>
      <x:c r="B778" s="17" t="str">
        <x:f>IF(A778="","",Students!F778)</x:f>
      </x:c>
      <x:c r="C778" s="17" t="str">
        <x:f>IF(A778="","",Students!G778)</x:f>
      </x:c>
      <x:c r="D778" s="17" t="str">
        <x:f>IF(A778="","",Students!H778)</x:f>
      </x:c>
      <x:c r="E778" s="22" t="str">
        <x:f>IF(A778="","",COUNTIFS(Late_Transactions!E:E,A778,Late_Transactions!K:K,"Recorded"))</x:f>
      </x:c>
      <x:c r="F778" s="21" t="n">
        <x:f>IFERROR(MAXIFS(Late_Transactions!C:C,Late_Transactions!E:E,A778,Late_Transactions!K:K,"Recorded"),"")</x:f>
        <x:v>0</x:v>
      </x:c>
      <x:c r="G778" s="17" t="str">
        <x:f>IF(E778="","",IF(E778&gt;=5,"High",IF(E778&gt;=3,"Watch","OK")))</x:f>
      </x:c>
    </x:row>
    <x:row r="779">
      <x:c r="A779" s="17" t="str">
        <x:f>IF(Students!A779="","",Students!A779)</x:f>
      </x:c>
      <x:c r="B779" s="17" t="str">
        <x:f>IF(A779="","",Students!F779)</x:f>
      </x:c>
      <x:c r="C779" s="17" t="str">
        <x:f>IF(A779="","",Students!G779)</x:f>
      </x:c>
      <x:c r="D779" s="17" t="str">
        <x:f>IF(A779="","",Students!H779)</x:f>
      </x:c>
      <x:c r="E779" s="22" t="str">
        <x:f>IF(A779="","",COUNTIFS(Late_Transactions!E:E,A779,Late_Transactions!K:K,"Recorded"))</x:f>
      </x:c>
      <x:c r="F779" s="21" t="n">
        <x:f>IFERROR(MAXIFS(Late_Transactions!C:C,Late_Transactions!E:E,A779,Late_Transactions!K:K,"Recorded"),"")</x:f>
        <x:v>0</x:v>
      </x:c>
      <x:c r="G779" s="17" t="str">
        <x:f>IF(E779="","",IF(E779&gt;=5,"High",IF(E779&gt;=3,"Watch","OK")))</x:f>
      </x:c>
    </x:row>
    <x:row r="780">
      <x:c r="A780" s="17" t="str">
        <x:f>IF(Students!A780="","",Students!A780)</x:f>
      </x:c>
      <x:c r="B780" s="17" t="str">
        <x:f>IF(A780="","",Students!F780)</x:f>
      </x:c>
      <x:c r="C780" s="17" t="str">
        <x:f>IF(A780="","",Students!G780)</x:f>
      </x:c>
      <x:c r="D780" s="17" t="str">
        <x:f>IF(A780="","",Students!H780)</x:f>
      </x:c>
      <x:c r="E780" s="22" t="str">
        <x:f>IF(A780="","",COUNTIFS(Late_Transactions!E:E,A780,Late_Transactions!K:K,"Recorded"))</x:f>
      </x:c>
      <x:c r="F780" s="21" t="n">
        <x:f>IFERROR(MAXIFS(Late_Transactions!C:C,Late_Transactions!E:E,A780,Late_Transactions!K:K,"Recorded"),"")</x:f>
        <x:v>0</x:v>
      </x:c>
      <x:c r="G780" s="17" t="str">
        <x:f>IF(E780="","",IF(E780&gt;=5,"High",IF(E780&gt;=3,"Watch","OK")))</x:f>
      </x:c>
    </x:row>
    <x:row r="781">
      <x:c r="A781" s="17" t="str">
        <x:f>IF(Students!A781="","",Students!A781)</x:f>
      </x:c>
      <x:c r="B781" s="17" t="str">
        <x:f>IF(A781="","",Students!F781)</x:f>
      </x:c>
      <x:c r="C781" s="17" t="str">
        <x:f>IF(A781="","",Students!G781)</x:f>
      </x:c>
      <x:c r="D781" s="17" t="str">
        <x:f>IF(A781="","",Students!H781)</x:f>
      </x:c>
      <x:c r="E781" s="22" t="str">
        <x:f>IF(A781="","",COUNTIFS(Late_Transactions!E:E,A781,Late_Transactions!K:K,"Recorded"))</x:f>
      </x:c>
      <x:c r="F781" s="21" t="n">
        <x:f>IFERROR(MAXIFS(Late_Transactions!C:C,Late_Transactions!E:E,A781,Late_Transactions!K:K,"Recorded"),"")</x:f>
        <x:v>0</x:v>
      </x:c>
      <x:c r="G781" s="17" t="str">
        <x:f>IF(E781="","",IF(E781&gt;=5,"High",IF(E781&gt;=3,"Watch","OK")))</x:f>
      </x:c>
    </x:row>
    <x:row r="782">
      <x:c r="A782" s="17" t="str">
        <x:f>IF(Students!A782="","",Students!A782)</x:f>
      </x:c>
      <x:c r="B782" s="17" t="str">
        <x:f>IF(A782="","",Students!F782)</x:f>
      </x:c>
      <x:c r="C782" s="17" t="str">
        <x:f>IF(A782="","",Students!G782)</x:f>
      </x:c>
      <x:c r="D782" s="17" t="str">
        <x:f>IF(A782="","",Students!H782)</x:f>
      </x:c>
      <x:c r="E782" s="22" t="str">
        <x:f>IF(A782="","",COUNTIFS(Late_Transactions!E:E,A782,Late_Transactions!K:K,"Recorded"))</x:f>
      </x:c>
      <x:c r="F782" s="21" t="n">
        <x:f>IFERROR(MAXIFS(Late_Transactions!C:C,Late_Transactions!E:E,A782,Late_Transactions!K:K,"Recorded"),"")</x:f>
        <x:v>0</x:v>
      </x:c>
      <x:c r="G782" s="17" t="str">
        <x:f>IF(E782="","",IF(E782&gt;=5,"High",IF(E782&gt;=3,"Watch","OK")))</x:f>
      </x:c>
    </x:row>
    <x:row r="783">
      <x:c r="A783" s="17" t="str">
        <x:f>IF(Students!A783="","",Students!A783)</x:f>
      </x:c>
      <x:c r="B783" s="17" t="str">
        <x:f>IF(A783="","",Students!F783)</x:f>
      </x:c>
      <x:c r="C783" s="17" t="str">
        <x:f>IF(A783="","",Students!G783)</x:f>
      </x:c>
      <x:c r="D783" s="17" t="str">
        <x:f>IF(A783="","",Students!H783)</x:f>
      </x:c>
      <x:c r="E783" s="22" t="str">
        <x:f>IF(A783="","",COUNTIFS(Late_Transactions!E:E,A783,Late_Transactions!K:K,"Recorded"))</x:f>
      </x:c>
      <x:c r="F783" s="21" t="n">
        <x:f>IFERROR(MAXIFS(Late_Transactions!C:C,Late_Transactions!E:E,A783,Late_Transactions!K:K,"Recorded"),"")</x:f>
        <x:v>0</x:v>
      </x:c>
      <x:c r="G783" s="17" t="str">
        <x:f>IF(E783="","",IF(E783&gt;=5,"High",IF(E783&gt;=3,"Watch","OK")))</x:f>
      </x:c>
    </x:row>
    <x:row r="784">
      <x:c r="A784" s="17" t="str">
        <x:f>IF(Students!A784="","",Students!A784)</x:f>
      </x:c>
      <x:c r="B784" s="17" t="str">
        <x:f>IF(A784="","",Students!F784)</x:f>
      </x:c>
      <x:c r="C784" s="17" t="str">
        <x:f>IF(A784="","",Students!G784)</x:f>
      </x:c>
      <x:c r="D784" s="17" t="str">
        <x:f>IF(A784="","",Students!H784)</x:f>
      </x:c>
      <x:c r="E784" s="22" t="str">
        <x:f>IF(A784="","",COUNTIFS(Late_Transactions!E:E,A784,Late_Transactions!K:K,"Recorded"))</x:f>
      </x:c>
      <x:c r="F784" s="21" t="n">
        <x:f>IFERROR(MAXIFS(Late_Transactions!C:C,Late_Transactions!E:E,A784,Late_Transactions!K:K,"Recorded"),"")</x:f>
        <x:v>0</x:v>
      </x:c>
      <x:c r="G784" s="17" t="str">
        <x:f>IF(E784="","",IF(E784&gt;=5,"High",IF(E784&gt;=3,"Watch","OK")))</x:f>
      </x:c>
    </x:row>
    <x:row r="785">
      <x:c r="A785" s="17" t="str">
        <x:f>IF(Students!A785="","",Students!A785)</x:f>
      </x:c>
      <x:c r="B785" s="17" t="str">
        <x:f>IF(A785="","",Students!F785)</x:f>
      </x:c>
      <x:c r="C785" s="17" t="str">
        <x:f>IF(A785="","",Students!G785)</x:f>
      </x:c>
      <x:c r="D785" s="17" t="str">
        <x:f>IF(A785="","",Students!H785)</x:f>
      </x:c>
      <x:c r="E785" s="22" t="str">
        <x:f>IF(A785="","",COUNTIFS(Late_Transactions!E:E,A785,Late_Transactions!K:K,"Recorded"))</x:f>
      </x:c>
      <x:c r="F785" s="21" t="n">
        <x:f>IFERROR(MAXIFS(Late_Transactions!C:C,Late_Transactions!E:E,A785,Late_Transactions!K:K,"Recorded"),"")</x:f>
        <x:v>0</x:v>
      </x:c>
      <x:c r="G785" s="17" t="str">
        <x:f>IF(E785="","",IF(E785&gt;=5,"High",IF(E785&gt;=3,"Watch","OK")))</x:f>
      </x:c>
    </x:row>
    <x:row r="786">
      <x:c r="A786" s="17" t="str">
        <x:f>IF(Students!A786="","",Students!A786)</x:f>
      </x:c>
      <x:c r="B786" s="17" t="str">
        <x:f>IF(A786="","",Students!F786)</x:f>
      </x:c>
      <x:c r="C786" s="17" t="str">
        <x:f>IF(A786="","",Students!G786)</x:f>
      </x:c>
      <x:c r="D786" s="17" t="str">
        <x:f>IF(A786="","",Students!H786)</x:f>
      </x:c>
      <x:c r="E786" s="22" t="str">
        <x:f>IF(A786="","",COUNTIFS(Late_Transactions!E:E,A786,Late_Transactions!K:K,"Recorded"))</x:f>
      </x:c>
      <x:c r="F786" s="21" t="n">
        <x:f>IFERROR(MAXIFS(Late_Transactions!C:C,Late_Transactions!E:E,A786,Late_Transactions!K:K,"Recorded"),"")</x:f>
        <x:v>0</x:v>
      </x:c>
      <x:c r="G786" s="17" t="str">
        <x:f>IF(E786="","",IF(E786&gt;=5,"High",IF(E786&gt;=3,"Watch","OK")))</x:f>
      </x:c>
    </x:row>
    <x:row r="787">
      <x:c r="A787" s="17" t="str">
        <x:f>IF(Students!A787="","",Students!A787)</x:f>
      </x:c>
      <x:c r="B787" s="17" t="str">
        <x:f>IF(A787="","",Students!F787)</x:f>
      </x:c>
      <x:c r="C787" s="17" t="str">
        <x:f>IF(A787="","",Students!G787)</x:f>
      </x:c>
      <x:c r="D787" s="17" t="str">
        <x:f>IF(A787="","",Students!H787)</x:f>
      </x:c>
      <x:c r="E787" s="22" t="str">
        <x:f>IF(A787="","",COUNTIFS(Late_Transactions!E:E,A787,Late_Transactions!K:K,"Recorded"))</x:f>
      </x:c>
      <x:c r="F787" s="21" t="n">
        <x:f>IFERROR(MAXIFS(Late_Transactions!C:C,Late_Transactions!E:E,A787,Late_Transactions!K:K,"Recorded"),"")</x:f>
        <x:v>0</x:v>
      </x:c>
      <x:c r="G787" s="17" t="str">
        <x:f>IF(E787="","",IF(E787&gt;=5,"High",IF(E787&gt;=3,"Watch","OK")))</x:f>
      </x:c>
    </x:row>
    <x:row r="788">
      <x:c r="A788" s="17" t="str">
        <x:f>IF(Students!A788="","",Students!A788)</x:f>
      </x:c>
      <x:c r="B788" s="17" t="str">
        <x:f>IF(A788="","",Students!F788)</x:f>
      </x:c>
      <x:c r="C788" s="17" t="str">
        <x:f>IF(A788="","",Students!G788)</x:f>
      </x:c>
      <x:c r="D788" s="17" t="str">
        <x:f>IF(A788="","",Students!H788)</x:f>
      </x:c>
      <x:c r="E788" s="22" t="str">
        <x:f>IF(A788="","",COUNTIFS(Late_Transactions!E:E,A788,Late_Transactions!K:K,"Recorded"))</x:f>
      </x:c>
      <x:c r="F788" s="21" t="n">
        <x:f>IFERROR(MAXIFS(Late_Transactions!C:C,Late_Transactions!E:E,A788,Late_Transactions!K:K,"Recorded"),"")</x:f>
        <x:v>0</x:v>
      </x:c>
      <x:c r="G788" s="17" t="str">
        <x:f>IF(E788="","",IF(E788&gt;=5,"High",IF(E788&gt;=3,"Watch","OK")))</x:f>
      </x:c>
    </x:row>
    <x:row r="789">
      <x:c r="A789" s="17" t="str">
        <x:f>IF(Students!A789="","",Students!A789)</x:f>
      </x:c>
      <x:c r="B789" s="17" t="str">
        <x:f>IF(A789="","",Students!F789)</x:f>
      </x:c>
      <x:c r="C789" s="17" t="str">
        <x:f>IF(A789="","",Students!G789)</x:f>
      </x:c>
      <x:c r="D789" s="17" t="str">
        <x:f>IF(A789="","",Students!H789)</x:f>
      </x:c>
      <x:c r="E789" s="22" t="str">
        <x:f>IF(A789="","",COUNTIFS(Late_Transactions!E:E,A789,Late_Transactions!K:K,"Recorded"))</x:f>
      </x:c>
      <x:c r="F789" s="21" t="n">
        <x:f>IFERROR(MAXIFS(Late_Transactions!C:C,Late_Transactions!E:E,A789,Late_Transactions!K:K,"Recorded"),"")</x:f>
        <x:v>0</x:v>
      </x:c>
      <x:c r="G789" s="17" t="str">
        <x:f>IF(E789="","",IF(E789&gt;=5,"High",IF(E789&gt;=3,"Watch","OK")))</x:f>
      </x:c>
    </x:row>
    <x:row r="790">
      <x:c r="A790" s="17" t="str">
        <x:f>IF(Students!A790="","",Students!A790)</x:f>
      </x:c>
      <x:c r="B790" s="17" t="str">
        <x:f>IF(A790="","",Students!F790)</x:f>
      </x:c>
      <x:c r="C790" s="17" t="str">
        <x:f>IF(A790="","",Students!G790)</x:f>
      </x:c>
      <x:c r="D790" s="17" t="str">
        <x:f>IF(A790="","",Students!H790)</x:f>
      </x:c>
      <x:c r="E790" s="22" t="str">
        <x:f>IF(A790="","",COUNTIFS(Late_Transactions!E:E,A790,Late_Transactions!K:K,"Recorded"))</x:f>
      </x:c>
      <x:c r="F790" s="21" t="n">
        <x:f>IFERROR(MAXIFS(Late_Transactions!C:C,Late_Transactions!E:E,A790,Late_Transactions!K:K,"Recorded"),"")</x:f>
        <x:v>0</x:v>
      </x:c>
      <x:c r="G790" s="17" t="str">
        <x:f>IF(E790="","",IF(E790&gt;=5,"High",IF(E790&gt;=3,"Watch","OK")))</x:f>
      </x:c>
    </x:row>
    <x:row r="791">
      <x:c r="A791" s="17" t="str">
        <x:f>IF(Students!A791="","",Students!A791)</x:f>
      </x:c>
      <x:c r="B791" s="17" t="str">
        <x:f>IF(A791="","",Students!F791)</x:f>
      </x:c>
      <x:c r="C791" s="17" t="str">
        <x:f>IF(A791="","",Students!G791)</x:f>
      </x:c>
      <x:c r="D791" s="17" t="str">
        <x:f>IF(A791="","",Students!H791)</x:f>
      </x:c>
      <x:c r="E791" s="22" t="str">
        <x:f>IF(A791="","",COUNTIFS(Late_Transactions!E:E,A791,Late_Transactions!K:K,"Recorded"))</x:f>
      </x:c>
      <x:c r="F791" s="21" t="n">
        <x:f>IFERROR(MAXIFS(Late_Transactions!C:C,Late_Transactions!E:E,A791,Late_Transactions!K:K,"Recorded"),"")</x:f>
        <x:v>0</x:v>
      </x:c>
      <x:c r="G791" s="17" t="str">
        <x:f>IF(E791="","",IF(E791&gt;=5,"High",IF(E791&gt;=3,"Watch","OK")))</x:f>
      </x:c>
    </x:row>
    <x:row r="792">
      <x:c r="A792" s="17" t="str">
        <x:f>IF(Students!A792="","",Students!A792)</x:f>
      </x:c>
      <x:c r="B792" s="17" t="str">
        <x:f>IF(A792="","",Students!F792)</x:f>
      </x:c>
      <x:c r="C792" s="17" t="str">
        <x:f>IF(A792="","",Students!G792)</x:f>
      </x:c>
      <x:c r="D792" s="17" t="str">
        <x:f>IF(A792="","",Students!H792)</x:f>
      </x:c>
      <x:c r="E792" s="22" t="str">
        <x:f>IF(A792="","",COUNTIFS(Late_Transactions!E:E,A792,Late_Transactions!K:K,"Recorded"))</x:f>
      </x:c>
      <x:c r="F792" s="21" t="n">
        <x:f>IFERROR(MAXIFS(Late_Transactions!C:C,Late_Transactions!E:E,A792,Late_Transactions!K:K,"Recorded"),"")</x:f>
        <x:v>0</x:v>
      </x:c>
      <x:c r="G792" s="17" t="str">
        <x:f>IF(E792="","",IF(E792&gt;=5,"High",IF(E792&gt;=3,"Watch","OK")))</x:f>
      </x:c>
    </x:row>
    <x:row r="793">
      <x:c r="A793" s="17" t="str">
        <x:f>IF(Students!A793="","",Students!A793)</x:f>
      </x:c>
      <x:c r="B793" s="17" t="str">
        <x:f>IF(A793="","",Students!F793)</x:f>
      </x:c>
      <x:c r="C793" s="17" t="str">
        <x:f>IF(A793="","",Students!G793)</x:f>
      </x:c>
      <x:c r="D793" s="17" t="str">
        <x:f>IF(A793="","",Students!H793)</x:f>
      </x:c>
      <x:c r="E793" s="22" t="str">
        <x:f>IF(A793="","",COUNTIFS(Late_Transactions!E:E,A793,Late_Transactions!K:K,"Recorded"))</x:f>
      </x:c>
      <x:c r="F793" s="21" t="n">
        <x:f>IFERROR(MAXIFS(Late_Transactions!C:C,Late_Transactions!E:E,A793,Late_Transactions!K:K,"Recorded"),"")</x:f>
        <x:v>0</x:v>
      </x:c>
      <x:c r="G793" s="17" t="str">
        <x:f>IF(E793="","",IF(E793&gt;=5,"High",IF(E793&gt;=3,"Watch","OK")))</x:f>
      </x:c>
    </x:row>
    <x:row r="794">
      <x:c r="A794" s="17" t="str">
        <x:f>IF(Students!A794="","",Students!A794)</x:f>
      </x:c>
      <x:c r="B794" s="17" t="str">
        <x:f>IF(A794="","",Students!F794)</x:f>
      </x:c>
      <x:c r="C794" s="17" t="str">
        <x:f>IF(A794="","",Students!G794)</x:f>
      </x:c>
      <x:c r="D794" s="17" t="str">
        <x:f>IF(A794="","",Students!H794)</x:f>
      </x:c>
      <x:c r="E794" s="22" t="str">
        <x:f>IF(A794="","",COUNTIFS(Late_Transactions!E:E,A794,Late_Transactions!K:K,"Recorded"))</x:f>
      </x:c>
      <x:c r="F794" s="21" t="n">
        <x:f>IFERROR(MAXIFS(Late_Transactions!C:C,Late_Transactions!E:E,A794,Late_Transactions!K:K,"Recorded"),"")</x:f>
        <x:v>0</x:v>
      </x:c>
      <x:c r="G794" s="17" t="str">
        <x:f>IF(E794="","",IF(E794&gt;=5,"High",IF(E794&gt;=3,"Watch","OK")))</x:f>
      </x:c>
    </x:row>
    <x:row r="795">
      <x:c r="A795" s="17" t="str">
        <x:f>IF(Students!A795="","",Students!A795)</x:f>
      </x:c>
      <x:c r="B795" s="17" t="str">
        <x:f>IF(A795="","",Students!F795)</x:f>
      </x:c>
      <x:c r="C795" s="17" t="str">
        <x:f>IF(A795="","",Students!G795)</x:f>
      </x:c>
      <x:c r="D795" s="17" t="str">
        <x:f>IF(A795="","",Students!H795)</x:f>
      </x:c>
      <x:c r="E795" s="22" t="str">
        <x:f>IF(A795="","",COUNTIFS(Late_Transactions!E:E,A795,Late_Transactions!K:K,"Recorded"))</x:f>
      </x:c>
      <x:c r="F795" s="21" t="n">
        <x:f>IFERROR(MAXIFS(Late_Transactions!C:C,Late_Transactions!E:E,A795,Late_Transactions!K:K,"Recorded"),"")</x:f>
        <x:v>0</x:v>
      </x:c>
      <x:c r="G795" s="17" t="str">
        <x:f>IF(E795="","",IF(E795&gt;=5,"High",IF(E795&gt;=3,"Watch","OK")))</x:f>
      </x:c>
    </x:row>
    <x:row r="796">
      <x:c r="A796" s="17" t="str">
        <x:f>IF(Students!A796="","",Students!A796)</x:f>
      </x:c>
      <x:c r="B796" s="17" t="str">
        <x:f>IF(A796="","",Students!F796)</x:f>
      </x:c>
      <x:c r="C796" s="17" t="str">
        <x:f>IF(A796="","",Students!G796)</x:f>
      </x:c>
      <x:c r="D796" s="17" t="str">
        <x:f>IF(A796="","",Students!H796)</x:f>
      </x:c>
      <x:c r="E796" s="22" t="str">
        <x:f>IF(A796="","",COUNTIFS(Late_Transactions!E:E,A796,Late_Transactions!K:K,"Recorded"))</x:f>
      </x:c>
      <x:c r="F796" s="21" t="n">
        <x:f>IFERROR(MAXIFS(Late_Transactions!C:C,Late_Transactions!E:E,A796,Late_Transactions!K:K,"Recorded"),"")</x:f>
        <x:v>0</x:v>
      </x:c>
      <x:c r="G796" s="17" t="str">
        <x:f>IF(E796="","",IF(E796&gt;=5,"High",IF(E796&gt;=3,"Watch","OK")))</x:f>
      </x:c>
    </x:row>
    <x:row r="797">
      <x:c r="A797" s="17" t="str">
        <x:f>IF(Students!A797="","",Students!A797)</x:f>
      </x:c>
      <x:c r="B797" s="17" t="str">
        <x:f>IF(A797="","",Students!F797)</x:f>
      </x:c>
      <x:c r="C797" s="17" t="str">
        <x:f>IF(A797="","",Students!G797)</x:f>
      </x:c>
      <x:c r="D797" s="17" t="str">
        <x:f>IF(A797="","",Students!H797)</x:f>
      </x:c>
      <x:c r="E797" s="22" t="str">
        <x:f>IF(A797="","",COUNTIFS(Late_Transactions!E:E,A797,Late_Transactions!K:K,"Recorded"))</x:f>
      </x:c>
      <x:c r="F797" s="21" t="n">
        <x:f>IFERROR(MAXIFS(Late_Transactions!C:C,Late_Transactions!E:E,A797,Late_Transactions!K:K,"Recorded"),"")</x:f>
        <x:v>0</x:v>
      </x:c>
      <x:c r="G797" s="17" t="str">
        <x:f>IF(E797="","",IF(E797&gt;=5,"High",IF(E797&gt;=3,"Watch","OK")))</x:f>
      </x:c>
    </x:row>
    <x:row r="798">
      <x:c r="A798" s="17" t="str">
        <x:f>IF(Students!A798="","",Students!A798)</x:f>
      </x:c>
      <x:c r="B798" s="17" t="str">
        <x:f>IF(A798="","",Students!F798)</x:f>
      </x:c>
      <x:c r="C798" s="17" t="str">
        <x:f>IF(A798="","",Students!G798)</x:f>
      </x:c>
      <x:c r="D798" s="17" t="str">
        <x:f>IF(A798="","",Students!H798)</x:f>
      </x:c>
      <x:c r="E798" s="22" t="str">
        <x:f>IF(A798="","",COUNTIFS(Late_Transactions!E:E,A798,Late_Transactions!K:K,"Recorded"))</x:f>
      </x:c>
      <x:c r="F798" s="21" t="n">
        <x:f>IFERROR(MAXIFS(Late_Transactions!C:C,Late_Transactions!E:E,A798,Late_Transactions!K:K,"Recorded"),"")</x:f>
        <x:v>0</x:v>
      </x:c>
      <x:c r="G798" s="17" t="str">
        <x:f>IF(E798="","",IF(E798&gt;=5,"High",IF(E798&gt;=3,"Watch","OK")))</x:f>
      </x:c>
    </x:row>
    <x:row r="799">
      <x:c r="A799" s="17" t="str">
        <x:f>IF(Students!A799="","",Students!A799)</x:f>
      </x:c>
      <x:c r="B799" s="17" t="str">
        <x:f>IF(A799="","",Students!F799)</x:f>
      </x:c>
      <x:c r="C799" s="17" t="str">
        <x:f>IF(A799="","",Students!G799)</x:f>
      </x:c>
      <x:c r="D799" s="17" t="str">
        <x:f>IF(A799="","",Students!H799)</x:f>
      </x:c>
      <x:c r="E799" s="22" t="str">
        <x:f>IF(A799="","",COUNTIFS(Late_Transactions!E:E,A799,Late_Transactions!K:K,"Recorded"))</x:f>
      </x:c>
      <x:c r="F799" s="21" t="n">
        <x:f>IFERROR(MAXIFS(Late_Transactions!C:C,Late_Transactions!E:E,A799,Late_Transactions!K:K,"Recorded"),"")</x:f>
        <x:v>0</x:v>
      </x:c>
      <x:c r="G799" s="17" t="str">
        <x:f>IF(E799="","",IF(E799&gt;=5,"High",IF(E799&gt;=3,"Watch","OK")))</x:f>
      </x:c>
    </x:row>
    <x:row r="800">
      <x:c r="A800" s="17" t="str">
        <x:f>IF(Students!A800="","",Students!A800)</x:f>
      </x:c>
      <x:c r="B800" s="17" t="str">
        <x:f>IF(A800="","",Students!F800)</x:f>
      </x:c>
      <x:c r="C800" s="17" t="str">
        <x:f>IF(A800="","",Students!G800)</x:f>
      </x:c>
      <x:c r="D800" s="17" t="str">
        <x:f>IF(A800="","",Students!H800)</x:f>
      </x:c>
      <x:c r="E800" s="22" t="str">
        <x:f>IF(A800="","",COUNTIFS(Late_Transactions!E:E,A800,Late_Transactions!K:K,"Recorded"))</x:f>
      </x:c>
      <x:c r="F800" s="21" t="n">
        <x:f>IFERROR(MAXIFS(Late_Transactions!C:C,Late_Transactions!E:E,A800,Late_Transactions!K:K,"Recorded"),"")</x:f>
        <x:v>0</x:v>
      </x:c>
      <x:c r="G800" s="17" t="str">
        <x:f>IF(E800="","",IF(E800&gt;=5,"High",IF(E800&gt;=3,"Watch","OK")))</x:f>
      </x:c>
    </x:row>
    <x:row r="801">
      <x:c r="A801" s="17" t="str">
        <x:f>IF(Students!A801="","",Students!A801)</x:f>
      </x:c>
      <x:c r="B801" s="17" t="str">
        <x:f>IF(A801="","",Students!F801)</x:f>
      </x:c>
      <x:c r="C801" s="17" t="str">
        <x:f>IF(A801="","",Students!G801)</x:f>
      </x:c>
      <x:c r="D801" s="17" t="str">
        <x:f>IF(A801="","",Students!H801)</x:f>
      </x:c>
      <x:c r="E801" s="22" t="str">
        <x:f>IF(A801="","",COUNTIFS(Late_Transactions!E:E,A801,Late_Transactions!K:K,"Recorded"))</x:f>
      </x:c>
      <x:c r="F801" s="21" t="n">
        <x:f>IFERROR(MAXIFS(Late_Transactions!C:C,Late_Transactions!E:E,A801,Late_Transactions!K:K,"Recorded"),"")</x:f>
        <x:v>0</x:v>
      </x:c>
      <x:c r="G801" s="17" t="str">
        <x:f>IF(E801="","",IF(E801&gt;=5,"High",IF(E801&gt;=3,"Watch","OK")))</x:f>
      </x:c>
    </x:row>
    <x:row r="802">
      <x:c r="A802" s="17" t="str">
        <x:f>IF(Students!A802="","",Students!A802)</x:f>
      </x:c>
      <x:c r="B802" s="17" t="str">
        <x:f>IF(A802="","",Students!F802)</x:f>
      </x:c>
      <x:c r="C802" s="17" t="str">
        <x:f>IF(A802="","",Students!G802)</x:f>
      </x:c>
      <x:c r="D802" s="17" t="str">
        <x:f>IF(A802="","",Students!H802)</x:f>
      </x:c>
      <x:c r="E802" s="22" t="str">
        <x:f>IF(A802="","",COUNTIFS(Late_Transactions!E:E,A802,Late_Transactions!K:K,"Recorded"))</x:f>
      </x:c>
      <x:c r="F802" s="21" t="n">
        <x:f>IFERROR(MAXIFS(Late_Transactions!C:C,Late_Transactions!E:E,A802,Late_Transactions!K:K,"Recorded"),"")</x:f>
        <x:v>0</x:v>
      </x:c>
      <x:c r="G802" s="17" t="str">
        <x:f>IF(E802="","",IF(E802&gt;=5,"High",IF(E802&gt;=3,"Watch","OK")))</x:f>
      </x:c>
    </x:row>
    <x:row r="803">
      <x:c r="A803" s="17" t="str">
        <x:f>IF(Students!A803="","",Students!A803)</x:f>
      </x:c>
      <x:c r="B803" s="17" t="str">
        <x:f>IF(A803="","",Students!F803)</x:f>
      </x:c>
      <x:c r="C803" s="17" t="str">
        <x:f>IF(A803="","",Students!G803)</x:f>
      </x:c>
      <x:c r="D803" s="17" t="str">
        <x:f>IF(A803="","",Students!H803)</x:f>
      </x:c>
      <x:c r="E803" s="22" t="str">
        <x:f>IF(A803="","",COUNTIFS(Late_Transactions!E:E,A803,Late_Transactions!K:K,"Recorded"))</x:f>
      </x:c>
      <x:c r="F803" s="21" t="n">
        <x:f>IFERROR(MAXIFS(Late_Transactions!C:C,Late_Transactions!E:E,A803,Late_Transactions!K:K,"Recorded"),"")</x:f>
        <x:v>0</x:v>
      </x:c>
      <x:c r="G803" s="17" t="str">
        <x:f>IF(E803="","",IF(E803&gt;=5,"High",IF(E803&gt;=3,"Watch","OK")))</x:f>
      </x:c>
    </x:row>
    <x:row r="804">
      <x:c r="A804" s="17" t="str">
        <x:f>IF(Students!A804="","",Students!A804)</x:f>
      </x:c>
      <x:c r="B804" s="17" t="str">
        <x:f>IF(A804="","",Students!F804)</x:f>
      </x:c>
      <x:c r="C804" s="17" t="str">
        <x:f>IF(A804="","",Students!G804)</x:f>
      </x:c>
      <x:c r="D804" s="17" t="str">
        <x:f>IF(A804="","",Students!H804)</x:f>
      </x:c>
      <x:c r="E804" s="22" t="str">
        <x:f>IF(A804="","",COUNTIFS(Late_Transactions!E:E,A804,Late_Transactions!K:K,"Recorded"))</x:f>
      </x:c>
      <x:c r="F804" s="21" t="n">
        <x:f>IFERROR(MAXIFS(Late_Transactions!C:C,Late_Transactions!E:E,A804,Late_Transactions!K:K,"Recorded"),"")</x:f>
        <x:v>0</x:v>
      </x:c>
      <x:c r="G804" s="17" t="str">
        <x:f>IF(E804="","",IF(E804&gt;=5,"High",IF(E804&gt;=3,"Watch","OK")))</x:f>
      </x:c>
    </x:row>
    <x:row r="805">
      <x:c r="A805" s="17" t="str">
        <x:f>IF(Students!A805="","",Students!A805)</x:f>
      </x:c>
      <x:c r="B805" s="17" t="str">
        <x:f>IF(A805="","",Students!F805)</x:f>
      </x:c>
      <x:c r="C805" s="17" t="str">
        <x:f>IF(A805="","",Students!G805)</x:f>
      </x:c>
      <x:c r="D805" s="17" t="str">
        <x:f>IF(A805="","",Students!H805)</x:f>
      </x:c>
      <x:c r="E805" s="22" t="str">
        <x:f>IF(A805="","",COUNTIFS(Late_Transactions!E:E,A805,Late_Transactions!K:K,"Recorded"))</x:f>
      </x:c>
      <x:c r="F805" s="21" t="n">
        <x:f>IFERROR(MAXIFS(Late_Transactions!C:C,Late_Transactions!E:E,A805,Late_Transactions!K:K,"Recorded"),"")</x:f>
        <x:v>0</x:v>
      </x:c>
      <x:c r="G805" s="17" t="str">
        <x:f>IF(E805="","",IF(E805&gt;=5,"High",IF(E805&gt;=3,"Watch","OK")))</x:f>
      </x:c>
    </x:row>
    <x:row r="806">
      <x:c r="A806" s="17" t="str">
        <x:f>IF(Students!A806="","",Students!A806)</x:f>
      </x:c>
      <x:c r="B806" s="17" t="str">
        <x:f>IF(A806="","",Students!F806)</x:f>
      </x:c>
      <x:c r="C806" s="17" t="str">
        <x:f>IF(A806="","",Students!G806)</x:f>
      </x:c>
      <x:c r="D806" s="17" t="str">
        <x:f>IF(A806="","",Students!H806)</x:f>
      </x:c>
      <x:c r="E806" s="22" t="str">
        <x:f>IF(A806="","",COUNTIFS(Late_Transactions!E:E,A806,Late_Transactions!K:K,"Recorded"))</x:f>
      </x:c>
      <x:c r="F806" s="21" t="n">
        <x:f>IFERROR(MAXIFS(Late_Transactions!C:C,Late_Transactions!E:E,A806,Late_Transactions!K:K,"Recorded"),"")</x:f>
        <x:v>0</x:v>
      </x:c>
      <x:c r="G806" s="17" t="str">
        <x:f>IF(E806="","",IF(E806&gt;=5,"High",IF(E806&gt;=3,"Watch","OK")))</x:f>
      </x:c>
    </x:row>
    <x:row r="807">
      <x:c r="A807" s="17" t="str">
        <x:f>IF(Students!A807="","",Students!A807)</x:f>
      </x:c>
      <x:c r="B807" s="17" t="str">
        <x:f>IF(A807="","",Students!F807)</x:f>
      </x:c>
      <x:c r="C807" s="17" t="str">
        <x:f>IF(A807="","",Students!G807)</x:f>
      </x:c>
      <x:c r="D807" s="17" t="str">
        <x:f>IF(A807="","",Students!H807)</x:f>
      </x:c>
      <x:c r="E807" s="22" t="str">
        <x:f>IF(A807="","",COUNTIFS(Late_Transactions!E:E,A807,Late_Transactions!K:K,"Recorded"))</x:f>
      </x:c>
      <x:c r="F807" s="21" t="n">
        <x:f>IFERROR(MAXIFS(Late_Transactions!C:C,Late_Transactions!E:E,A807,Late_Transactions!K:K,"Recorded"),"")</x:f>
        <x:v>0</x:v>
      </x:c>
      <x:c r="G807" s="17" t="str">
        <x:f>IF(E807="","",IF(E807&gt;=5,"High",IF(E807&gt;=3,"Watch","OK")))</x:f>
      </x:c>
    </x:row>
    <x:row r="808">
      <x:c r="A808" s="17" t="str">
        <x:f>IF(Students!A808="","",Students!A808)</x:f>
      </x:c>
      <x:c r="B808" s="17" t="str">
        <x:f>IF(A808="","",Students!F808)</x:f>
      </x:c>
      <x:c r="C808" s="17" t="str">
        <x:f>IF(A808="","",Students!G808)</x:f>
      </x:c>
      <x:c r="D808" s="17" t="str">
        <x:f>IF(A808="","",Students!H808)</x:f>
      </x:c>
      <x:c r="E808" s="22" t="str">
        <x:f>IF(A808="","",COUNTIFS(Late_Transactions!E:E,A808,Late_Transactions!K:K,"Recorded"))</x:f>
      </x:c>
      <x:c r="F808" s="21" t="n">
        <x:f>IFERROR(MAXIFS(Late_Transactions!C:C,Late_Transactions!E:E,A808,Late_Transactions!K:K,"Recorded"),"")</x:f>
        <x:v>0</x:v>
      </x:c>
      <x:c r="G808" s="17" t="str">
        <x:f>IF(E808="","",IF(E808&gt;=5,"High",IF(E808&gt;=3,"Watch","OK")))</x:f>
      </x:c>
    </x:row>
    <x:row r="809">
      <x:c r="A809" s="17" t="str">
        <x:f>IF(Students!A809="","",Students!A809)</x:f>
      </x:c>
      <x:c r="B809" s="17" t="str">
        <x:f>IF(A809="","",Students!F809)</x:f>
      </x:c>
      <x:c r="C809" s="17" t="str">
        <x:f>IF(A809="","",Students!G809)</x:f>
      </x:c>
      <x:c r="D809" s="17" t="str">
        <x:f>IF(A809="","",Students!H809)</x:f>
      </x:c>
      <x:c r="E809" s="22" t="str">
        <x:f>IF(A809="","",COUNTIFS(Late_Transactions!E:E,A809,Late_Transactions!K:K,"Recorded"))</x:f>
      </x:c>
      <x:c r="F809" s="21" t="n">
        <x:f>IFERROR(MAXIFS(Late_Transactions!C:C,Late_Transactions!E:E,A809,Late_Transactions!K:K,"Recorded"),"")</x:f>
        <x:v>0</x:v>
      </x:c>
      <x:c r="G809" s="17" t="str">
        <x:f>IF(E809="","",IF(E809&gt;=5,"High",IF(E809&gt;=3,"Watch","OK")))</x:f>
      </x:c>
    </x:row>
    <x:row r="810">
      <x:c r="A810" s="17" t="str">
        <x:f>IF(Students!A810="","",Students!A810)</x:f>
      </x:c>
      <x:c r="B810" s="17" t="str">
        <x:f>IF(A810="","",Students!F810)</x:f>
      </x:c>
      <x:c r="C810" s="17" t="str">
        <x:f>IF(A810="","",Students!G810)</x:f>
      </x:c>
      <x:c r="D810" s="17" t="str">
        <x:f>IF(A810="","",Students!H810)</x:f>
      </x:c>
      <x:c r="E810" s="22" t="str">
        <x:f>IF(A810="","",COUNTIFS(Late_Transactions!E:E,A810,Late_Transactions!K:K,"Recorded"))</x:f>
      </x:c>
      <x:c r="F810" s="21" t="n">
        <x:f>IFERROR(MAXIFS(Late_Transactions!C:C,Late_Transactions!E:E,A810,Late_Transactions!K:K,"Recorded"),"")</x:f>
        <x:v>0</x:v>
      </x:c>
      <x:c r="G810" s="17" t="str">
        <x:f>IF(E810="","",IF(E810&gt;=5,"High",IF(E810&gt;=3,"Watch","OK")))</x:f>
      </x:c>
    </x:row>
    <x:row r="811">
      <x:c r="A811" s="17" t="str">
        <x:f>IF(Students!A811="","",Students!A811)</x:f>
      </x:c>
      <x:c r="B811" s="17" t="str">
        <x:f>IF(A811="","",Students!F811)</x:f>
      </x:c>
      <x:c r="C811" s="17" t="str">
        <x:f>IF(A811="","",Students!G811)</x:f>
      </x:c>
      <x:c r="D811" s="17" t="str">
        <x:f>IF(A811="","",Students!H811)</x:f>
      </x:c>
      <x:c r="E811" s="22" t="str">
        <x:f>IF(A811="","",COUNTIFS(Late_Transactions!E:E,A811,Late_Transactions!K:K,"Recorded"))</x:f>
      </x:c>
      <x:c r="F811" s="21" t="n">
        <x:f>IFERROR(MAXIFS(Late_Transactions!C:C,Late_Transactions!E:E,A811,Late_Transactions!K:K,"Recorded"),"")</x:f>
        <x:v>0</x:v>
      </x:c>
      <x:c r="G811" s="17" t="str">
        <x:f>IF(E811="","",IF(E811&gt;=5,"High",IF(E811&gt;=3,"Watch","OK")))</x:f>
      </x:c>
    </x:row>
    <x:row r="812">
      <x:c r="A812" s="17" t="str">
        <x:f>IF(Students!A812="","",Students!A812)</x:f>
      </x:c>
      <x:c r="B812" s="17" t="str">
        <x:f>IF(A812="","",Students!F812)</x:f>
      </x:c>
      <x:c r="C812" s="17" t="str">
        <x:f>IF(A812="","",Students!G812)</x:f>
      </x:c>
      <x:c r="D812" s="17" t="str">
        <x:f>IF(A812="","",Students!H812)</x:f>
      </x:c>
      <x:c r="E812" s="22" t="str">
        <x:f>IF(A812="","",COUNTIFS(Late_Transactions!E:E,A812,Late_Transactions!K:K,"Recorded"))</x:f>
      </x:c>
      <x:c r="F812" s="21" t="n">
        <x:f>IFERROR(MAXIFS(Late_Transactions!C:C,Late_Transactions!E:E,A812,Late_Transactions!K:K,"Recorded"),"")</x:f>
        <x:v>0</x:v>
      </x:c>
      <x:c r="G812" s="17" t="str">
        <x:f>IF(E812="","",IF(E812&gt;=5,"High",IF(E812&gt;=3,"Watch","OK")))</x:f>
      </x:c>
    </x:row>
    <x:row r="813">
      <x:c r="A813" s="17" t="str">
        <x:f>IF(Students!A813="","",Students!A813)</x:f>
      </x:c>
      <x:c r="B813" s="17" t="str">
        <x:f>IF(A813="","",Students!F813)</x:f>
      </x:c>
      <x:c r="C813" s="17" t="str">
        <x:f>IF(A813="","",Students!G813)</x:f>
      </x:c>
      <x:c r="D813" s="17" t="str">
        <x:f>IF(A813="","",Students!H813)</x:f>
      </x:c>
      <x:c r="E813" s="22" t="str">
        <x:f>IF(A813="","",COUNTIFS(Late_Transactions!E:E,A813,Late_Transactions!K:K,"Recorded"))</x:f>
      </x:c>
      <x:c r="F813" s="21" t="n">
        <x:f>IFERROR(MAXIFS(Late_Transactions!C:C,Late_Transactions!E:E,A813,Late_Transactions!K:K,"Recorded"),"")</x:f>
        <x:v>0</x:v>
      </x:c>
      <x:c r="G813" s="17" t="str">
        <x:f>IF(E813="","",IF(E813&gt;=5,"High",IF(E813&gt;=3,"Watch","OK")))</x:f>
      </x:c>
    </x:row>
    <x:row r="814">
      <x:c r="A814" s="17" t="str">
        <x:f>IF(Students!A814="","",Students!A814)</x:f>
      </x:c>
      <x:c r="B814" s="17" t="str">
        <x:f>IF(A814="","",Students!F814)</x:f>
      </x:c>
      <x:c r="C814" s="17" t="str">
        <x:f>IF(A814="","",Students!G814)</x:f>
      </x:c>
      <x:c r="D814" s="17" t="str">
        <x:f>IF(A814="","",Students!H814)</x:f>
      </x:c>
      <x:c r="E814" s="22" t="str">
        <x:f>IF(A814="","",COUNTIFS(Late_Transactions!E:E,A814,Late_Transactions!K:K,"Recorded"))</x:f>
      </x:c>
      <x:c r="F814" s="21" t="n">
        <x:f>IFERROR(MAXIFS(Late_Transactions!C:C,Late_Transactions!E:E,A814,Late_Transactions!K:K,"Recorded"),"")</x:f>
        <x:v>0</x:v>
      </x:c>
      <x:c r="G814" s="17" t="str">
        <x:f>IF(E814="","",IF(E814&gt;=5,"High",IF(E814&gt;=3,"Watch","OK")))</x:f>
      </x:c>
    </x:row>
    <x:row r="815">
      <x:c r="A815" s="17" t="str">
        <x:f>IF(Students!A815="","",Students!A815)</x:f>
      </x:c>
      <x:c r="B815" s="17" t="str">
        <x:f>IF(A815="","",Students!F815)</x:f>
      </x:c>
      <x:c r="C815" s="17" t="str">
        <x:f>IF(A815="","",Students!G815)</x:f>
      </x:c>
      <x:c r="D815" s="17" t="str">
        <x:f>IF(A815="","",Students!H815)</x:f>
      </x:c>
      <x:c r="E815" s="22" t="str">
        <x:f>IF(A815="","",COUNTIFS(Late_Transactions!E:E,A815,Late_Transactions!K:K,"Recorded"))</x:f>
      </x:c>
      <x:c r="F815" s="21" t="n">
        <x:f>IFERROR(MAXIFS(Late_Transactions!C:C,Late_Transactions!E:E,A815,Late_Transactions!K:K,"Recorded"),"")</x:f>
        <x:v>0</x:v>
      </x:c>
      <x:c r="G815" s="17" t="str">
        <x:f>IF(E815="","",IF(E815&gt;=5,"High",IF(E815&gt;=3,"Watch","OK")))</x:f>
      </x:c>
    </x:row>
    <x:row r="816">
      <x:c r="A816" s="17" t="str">
        <x:f>IF(Students!A816="","",Students!A816)</x:f>
      </x:c>
      <x:c r="B816" s="17" t="str">
        <x:f>IF(A816="","",Students!F816)</x:f>
      </x:c>
      <x:c r="C816" s="17" t="str">
        <x:f>IF(A816="","",Students!G816)</x:f>
      </x:c>
      <x:c r="D816" s="17" t="str">
        <x:f>IF(A816="","",Students!H816)</x:f>
      </x:c>
      <x:c r="E816" s="22" t="str">
        <x:f>IF(A816="","",COUNTIFS(Late_Transactions!E:E,A816,Late_Transactions!K:K,"Recorded"))</x:f>
      </x:c>
      <x:c r="F816" s="21" t="n">
        <x:f>IFERROR(MAXIFS(Late_Transactions!C:C,Late_Transactions!E:E,A816,Late_Transactions!K:K,"Recorded"),"")</x:f>
        <x:v>0</x:v>
      </x:c>
      <x:c r="G816" s="17" t="str">
        <x:f>IF(E816="","",IF(E816&gt;=5,"High",IF(E816&gt;=3,"Watch","OK")))</x:f>
      </x:c>
    </x:row>
    <x:row r="817">
      <x:c r="A817" s="17" t="str">
        <x:f>IF(Students!A817="","",Students!A817)</x:f>
      </x:c>
      <x:c r="B817" s="17" t="str">
        <x:f>IF(A817="","",Students!F817)</x:f>
      </x:c>
      <x:c r="C817" s="17" t="str">
        <x:f>IF(A817="","",Students!G817)</x:f>
      </x:c>
      <x:c r="D817" s="17" t="str">
        <x:f>IF(A817="","",Students!H817)</x:f>
      </x:c>
      <x:c r="E817" s="22" t="str">
        <x:f>IF(A817="","",COUNTIFS(Late_Transactions!E:E,A817,Late_Transactions!K:K,"Recorded"))</x:f>
      </x:c>
      <x:c r="F817" s="21" t="n">
        <x:f>IFERROR(MAXIFS(Late_Transactions!C:C,Late_Transactions!E:E,A817,Late_Transactions!K:K,"Recorded"),"")</x:f>
        <x:v>0</x:v>
      </x:c>
      <x:c r="G817" s="17" t="str">
        <x:f>IF(E817="","",IF(E817&gt;=5,"High",IF(E817&gt;=3,"Watch","OK")))</x:f>
      </x:c>
    </x:row>
    <x:row r="818">
      <x:c r="A818" s="17" t="str">
        <x:f>IF(Students!A818="","",Students!A818)</x:f>
      </x:c>
      <x:c r="B818" s="17" t="str">
        <x:f>IF(A818="","",Students!F818)</x:f>
      </x:c>
      <x:c r="C818" s="17" t="str">
        <x:f>IF(A818="","",Students!G818)</x:f>
      </x:c>
      <x:c r="D818" s="17" t="str">
        <x:f>IF(A818="","",Students!H818)</x:f>
      </x:c>
      <x:c r="E818" s="22" t="str">
        <x:f>IF(A818="","",COUNTIFS(Late_Transactions!E:E,A818,Late_Transactions!K:K,"Recorded"))</x:f>
      </x:c>
      <x:c r="F818" s="21" t="n">
        <x:f>IFERROR(MAXIFS(Late_Transactions!C:C,Late_Transactions!E:E,A818,Late_Transactions!K:K,"Recorded"),"")</x:f>
        <x:v>0</x:v>
      </x:c>
      <x:c r="G818" s="17" t="str">
        <x:f>IF(E818="","",IF(E818&gt;=5,"High",IF(E818&gt;=3,"Watch","OK")))</x:f>
      </x:c>
    </x:row>
    <x:row r="819">
      <x:c r="A819" s="17" t="str">
        <x:f>IF(Students!A819="","",Students!A819)</x:f>
      </x:c>
      <x:c r="B819" s="17" t="str">
        <x:f>IF(A819="","",Students!F819)</x:f>
      </x:c>
      <x:c r="C819" s="17" t="str">
        <x:f>IF(A819="","",Students!G819)</x:f>
      </x:c>
      <x:c r="D819" s="17" t="str">
        <x:f>IF(A819="","",Students!H819)</x:f>
      </x:c>
      <x:c r="E819" s="22" t="str">
        <x:f>IF(A819="","",COUNTIFS(Late_Transactions!E:E,A819,Late_Transactions!K:K,"Recorded"))</x:f>
      </x:c>
      <x:c r="F819" s="21" t="n">
        <x:f>IFERROR(MAXIFS(Late_Transactions!C:C,Late_Transactions!E:E,A819,Late_Transactions!K:K,"Recorded"),"")</x:f>
        <x:v>0</x:v>
      </x:c>
      <x:c r="G819" s="17" t="str">
        <x:f>IF(E819="","",IF(E819&gt;=5,"High",IF(E819&gt;=3,"Watch","OK")))</x:f>
      </x:c>
    </x:row>
    <x:row r="820">
      <x:c r="A820" s="17" t="str">
        <x:f>IF(Students!A820="","",Students!A820)</x:f>
      </x:c>
      <x:c r="B820" s="17" t="str">
        <x:f>IF(A820="","",Students!F820)</x:f>
      </x:c>
      <x:c r="C820" s="17" t="str">
        <x:f>IF(A820="","",Students!G820)</x:f>
      </x:c>
      <x:c r="D820" s="17" t="str">
        <x:f>IF(A820="","",Students!H820)</x:f>
      </x:c>
      <x:c r="E820" s="22" t="str">
        <x:f>IF(A820="","",COUNTIFS(Late_Transactions!E:E,A820,Late_Transactions!K:K,"Recorded"))</x:f>
      </x:c>
      <x:c r="F820" s="21" t="n">
        <x:f>IFERROR(MAXIFS(Late_Transactions!C:C,Late_Transactions!E:E,A820,Late_Transactions!K:K,"Recorded"),"")</x:f>
        <x:v>0</x:v>
      </x:c>
      <x:c r="G820" s="17" t="str">
        <x:f>IF(E820="","",IF(E820&gt;=5,"High",IF(E820&gt;=3,"Watch","OK")))</x:f>
      </x:c>
    </x:row>
    <x:row r="821">
      <x:c r="A821" s="17" t="str">
        <x:f>IF(Students!A821="","",Students!A821)</x:f>
      </x:c>
      <x:c r="B821" s="17" t="str">
        <x:f>IF(A821="","",Students!F821)</x:f>
      </x:c>
      <x:c r="C821" s="17" t="str">
        <x:f>IF(A821="","",Students!G821)</x:f>
      </x:c>
      <x:c r="D821" s="17" t="str">
        <x:f>IF(A821="","",Students!H821)</x:f>
      </x:c>
      <x:c r="E821" s="22" t="str">
        <x:f>IF(A821="","",COUNTIFS(Late_Transactions!E:E,A821,Late_Transactions!K:K,"Recorded"))</x:f>
      </x:c>
      <x:c r="F821" s="21" t="n">
        <x:f>IFERROR(MAXIFS(Late_Transactions!C:C,Late_Transactions!E:E,A821,Late_Transactions!K:K,"Recorded"),"")</x:f>
        <x:v>0</x:v>
      </x:c>
      <x:c r="G821" s="17" t="str">
        <x:f>IF(E821="","",IF(E821&gt;=5,"High",IF(E821&gt;=3,"Watch","OK")))</x:f>
      </x:c>
    </x:row>
    <x:row r="822">
      <x:c r="A822" s="17" t="str">
        <x:f>IF(Students!A822="","",Students!A822)</x:f>
      </x:c>
      <x:c r="B822" s="17" t="str">
        <x:f>IF(A822="","",Students!F822)</x:f>
      </x:c>
      <x:c r="C822" s="17" t="str">
        <x:f>IF(A822="","",Students!G822)</x:f>
      </x:c>
      <x:c r="D822" s="17" t="str">
        <x:f>IF(A822="","",Students!H822)</x:f>
      </x:c>
      <x:c r="E822" s="22" t="str">
        <x:f>IF(A822="","",COUNTIFS(Late_Transactions!E:E,A822,Late_Transactions!K:K,"Recorded"))</x:f>
      </x:c>
      <x:c r="F822" s="21" t="n">
        <x:f>IFERROR(MAXIFS(Late_Transactions!C:C,Late_Transactions!E:E,A822,Late_Transactions!K:K,"Recorded"),"")</x:f>
        <x:v>0</x:v>
      </x:c>
      <x:c r="G822" s="17" t="str">
        <x:f>IF(E822="","",IF(E822&gt;=5,"High",IF(E822&gt;=3,"Watch","OK")))</x:f>
      </x:c>
    </x:row>
    <x:row r="823">
      <x:c r="A823" s="17" t="str">
        <x:f>IF(Students!A823="","",Students!A823)</x:f>
      </x:c>
      <x:c r="B823" s="17" t="str">
        <x:f>IF(A823="","",Students!F823)</x:f>
      </x:c>
      <x:c r="C823" s="17" t="str">
        <x:f>IF(A823="","",Students!G823)</x:f>
      </x:c>
      <x:c r="D823" s="17" t="str">
        <x:f>IF(A823="","",Students!H823)</x:f>
      </x:c>
      <x:c r="E823" s="22" t="str">
        <x:f>IF(A823="","",COUNTIFS(Late_Transactions!E:E,A823,Late_Transactions!K:K,"Recorded"))</x:f>
      </x:c>
      <x:c r="F823" s="21" t="n">
        <x:f>IFERROR(MAXIFS(Late_Transactions!C:C,Late_Transactions!E:E,A823,Late_Transactions!K:K,"Recorded"),"")</x:f>
        <x:v>0</x:v>
      </x:c>
      <x:c r="G823" s="17" t="str">
        <x:f>IF(E823="","",IF(E823&gt;=5,"High",IF(E823&gt;=3,"Watch","OK")))</x:f>
      </x:c>
    </x:row>
    <x:row r="824">
      <x:c r="A824" s="17" t="str">
        <x:f>IF(Students!A824="","",Students!A824)</x:f>
      </x:c>
      <x:c r="B824" s="17" t="str">
        <x:f>IF(A824="","",Students!F824)</x:f>
      </x:c>
      <x:c r="C824" s="17" t="str">
        <x:f>IF(A824="","",Students!G824)</x:f>
      </x:c>
      <x:c r="D824" s="17" t="str">
        <x:f>IF(A824="","",Students!H824)</x:f>
      </x:c>
      <x:c r="E824" s="22" t="str">
        <x:f>IF(A824="","",COUNTIFS(Late_Transactions!E:E,A824,Late_Transactions!K:K,"Recorded"))</x:f>
      </x:c>
      <x:c r="F824" s="21" t="n">
        <x:f>IFERROR(MAXIFS(Late_Transactions!C:C,Late_Transactions!E:E,A824,Late_Transactions!K:K,"Recorded"),"")</x:f>
        <x:v>0</x:v>
      </x:c>
      <x:c r="G824" s="17" t="str">
        <x:f>IF(E824="","",IF(E824&gt;=5,"High",IF(E824&gt;=3,"Watch","OK")))</x:f>
      </x:c>
    </x:row>
    <x:row r="825">
      <x:c r="A825" s="17" t="str">
        <x:f>IF(Students!A825="","",Students!A825)</x:f>
      </x:c>
      <x:c r="B825" s="17" t="str">
        <x:f>IF(A825="","",Students!F825)</x:f>
      </x:c>
      <x:c r="C825" s="17" t="str">
        <x:f>IF(A825="","",Students!G825)</x:f>
      </x:c>
      <x:c r="D825" s="17" t="str">
        <x:f>IF(A825="","",Students!H825)</x:f>
      </x:c>
      <x:c r="E825" s="22" t="str">
        <x:f>IF(A825="","",COUNTIFS(Late_Transactions!E:E,A825,Late_Transactions!K:K,"Recorded"))</x:f>
      </x:c>
      <x:c r="F825" s="21" t="n">
        <x:f>IFERROR(MAXIFS(Late_Transactions!C:C,Late_Transactions!E:E,A825,Late_Transactions!K:K,"Recorded"),"")</x:f>
        <x:v>0</x:v>
      </x:c>
      <x:c r="G825" s="17" t="str">
        <x:f>IF(E825="","",IF(E825&gt;=5,"High",IF(E825&gt;=3,"Watch","OK")))</x:f>
      </x:c>
    </x:row>
    <x:row r="826">
      <x:c r="A826" s="17" t="str">
        <x:f>IF(Students!A826="","",Students!A826)</x:f>
      </x:c>
      <x:c r="B826" s="17" t="str">
        <x:f>IF(A826="","",Students!F826)</x:f>
      </x:c>
      <x:c r="C826" s="17" t="str">
        <x:f>IF(A826="","",Students!G826)</x:f>
      </x:c>
      <x:c r="D826" s="17" t="str">
        <x:f>IF(A826="","",Students!H826)</x:f>
      </x:c>
      <x:c r="E826" s="22" t="str">
        <x:f>IF(A826="","",COUNTIFS(Late_Transactions!E:E,A826,Late_Transactions!K:K,"Recorded"))</x:f>
      </x:c>
      <x:c r="F826" s="21" t="n">
        <x:f>IFERROR(MAXIFS(Late_Transactions!C:C,Late_Transactions!E:E,A826,Late_Transactions!K:K,"Recorded"),"")</x:f>
        <x:v>0</x:v>
      </x:c>
      <x:c r="G826" s="17" t="str">
        <x:f>IF(E826="","",IF(E826&gt;=5,"High",IF(E826&gt;=3,"Watch","OK")))</x:f>
      </x:c>
    </x:row>
    <x:row r="827">
      <x:c r="A827" s="17" t="str">
        <x:f>IF(Students!A827="","",Students!A827)</x:f>
      </x:c>
      <x:c r="B827" s="17" t="str">
        <x:f>IF(A827="","",Students!F827)</x:f>
      </x:c>
      <x:c r="C827" s="17" t="str">
        <x:f>IF(A827="","",Students!G827)</x:f>
      </x:c>
      <x:c r="D827" s="17" t="str">
        <x:f>IF(A827="","",Students!H827)</x:f>
      </x:c>
      <x:c r="E827" s="22" t="str">
        <x:f>IF(A827="","",COUNTIFS(Late_Transactions!E:E,A827,Late_Transactions!K:K,"Recorded"))</x:f>
      </x:c>
      <x:c r="F827" s="21" t="n">
        <x:f>IFERROR(MAXIFS(Late_Transactions!C:C,Late_Transactions!E:E,A827,Late_Transactions!K:K,"Recorded"),"")</x:f>
        <x:v>0</x:v>
      </x:c>
      <x:c r="G827" s="17" t="str">
        <x:f>IF(E827="","",IF(E827&gt;=5,"High",IF(E827&gt;=3,"Watch","OK")))</x:f>
      </x:c>
    </x:row>
    <x:row r="828">
      <x:c r="A828" s="17" t="str">
        <x:f>IF(Students!A828="","",Students!A828)</x:f>
      </x:c>
      <x:c r="B828" s="17" t="str">
        <x:f>IF(A828="","",Students!F828)</x:f>
      </x:c>
      <x:c r="C828" s="17" t="str">
        <x:f>IF(A828="","",Students!G828)</x:f>
      </x:c>
      <x:c r="D828" s="17" t="str">
        <x:f>IF(A828="","",Students!H828)</x:f>
      </x:c>
      <x:c r="E828" s="22" t="str">
        <x:f>IF(A828="","",COUNTIFS(Late_Transactions!E:E,A828,Late_Transactions!K:K,"Recorded"))</x:f>
      </x:c>
      <x:c r="F828" s="21" t="n">
        <x:f>IFERROR(MAXIFS(Late_Transactions!C:C,Late_Transactions!E:E,A828,Late_Transactions!K:K,"Recorded"),"")</x:f>
        <x:v>0</x:v>
      </x:c>
      <x:c r="G828" s="17" t="str">
        <x:f>IF(E828="","",IF(E828&gt;=5,"High",IF(E828&gt;=3,"Watch","OK")))</x:f>
      </x:c>
    </x:row>
    <x:row r="829">
      <x:c r="A829" s="17" t="str">
        <x:f>IF(Students!A829="","",Students!A829)</x:f>
      </x:c>
      <x:c r="B829" s="17" t="str">
        <x:f>IF(A829="","",Students!F829)</x:f>
      </x:c>
      <x:c r="C829" s="17" t="str">
        <x:f>IF(A829="","",Students!G829)</x:f>
      </x:c>
      <x:c r="D829" s="17" t="str">
        <x:f>IF(A829="","",Students!H829)</x:f>
      </x:c>
      <x:c r="E829" s="22" t="str">
        <x:f>IF(A829="","",COUNTIFS(Late_Transactions!E:E,A829,Late_Transactions!K:K,"Recorded"))</x:f>
      </x:c>
      <x:c r="F829" s="21" t="n">
        <x:f>IFERROR(MAXIFS(Late_Transactions!C:C,Late_Transactions!E:E,A829,Late_Transactions!K:K,"Recorded"),"")</x:f>
        <x:v>0</x:v>
      </x:c>
      <x:c r="G829" s="17" t="str">
        <x:f>IF(E829="","",IF(E829&gt;=5,"High",IF(E829&gt;=3,"Watch","OK")))</x:f>
      </x:c>
    </x:row>
    <x:row r="830">
      <x:c r="A830" s="17" t="str">
        <x:f>IF(Students!A830="","",Students!A830)</x:f>
      </x:c>
      <x:c r="B830" s="17" t="str">
        <x:f>IF(A830="","",Students!F830)</x:f>
      </x:c>
      <x:c r="C830" s="17" t="str">
        <x:f>IF(A830="","",Students!G830)</x:f>
      </x:c>
      <x:c r="D830" s="17" t="str">
        <x:f>IF(A830="","",Students!H830)</x:f>
      </x:c>
      <x:c r="E830" s="22" t="str">
        <x:f>IF(A830="","",COUNTIFS(Late_Transactions!E:E,A830,Late_Transactions!K:K,"Recorded"))</x:f>
      </x:c>
      <x:c r="F830" s="21" t="n">
        <x:f>IFERROR(MAXIFS(Late_Transactions!C:C,Late_Transactions!E:E,A830,Late_Transactions!K:K,"Recorded"),"")</x:f>
        <x:v>0</x:v>
      </x:c>
      <x:c r="G830" s="17" t="str">
        <x:f>IF(E830="","",IF(E830&gt;=5,"High",IF(E830&gt;=3,"Watch","OK")))</x:f>
      </x:c>
    </x:row>
    <x:row r="831">
      <x:c r="A831" s="17" t="str">
        <x:f>IF(Students!A831="","",Students!A831)</x:f>
      </x:c>
      <x:c r="B831" s="17" t="str">
        <x:f>IF(A831="","",Students!F831)</x:f>
      </x:c>
      <x:c r="C831" s="17" t="str">
        <x:f>IF(A831="","",Students!G831)</x:f>
      </x:c>
      <x:c r="D831" s="17" t="str">
        <x:f>IF(A831="","",Students!H831)</x:f>
      </x:c>
      <x:c r="E831" s="22" t="str">
        <x:f>IF(A831="","",COUNTIFS(Late_Transactions!E:E,A831,Late_Transactions!K:K,"Recorded"))</x:f>
      </x:c>
      <x:c r="F831" s="21" t="n">
        <x:f>IFERROR(MAXIFS(Late_Transactions!C:C,Late_Transactions!E:E,A831,Late_Transactions!K:K,"Recorded"),"")</x:f>
        <x:v>0</x:v>
      </x:c>
      <x:c r="G831" s="17" t="str">
        <x:f>IF(E831="","",IF(E831&gt;=5,"High",IF(E831&gt;=3,"Watch","OK")))</x:f>
      </x:c>
    </x:row>
    <x:row r="832">
      <x:c r="A832" s="17" t="str">
        <x:f>IF(Students!A832="","",Students!A832)</x:f>
      </x:c>
      <x:c r="B832" s="17" t="str">
        <x:f>IF(A832="","",Students!F832)</x:f>
      </x:c>
      <x:c r="C832" s="17" t="str">
        <x:f>IF(A832="","",Students!G832)</x:f>
      </x:c>
      <x:c r="D832" s="17" t="str">
        <x:f>IF(A832="","",Students!H832)</x:f>
      </x:c>
      <x:c r="E832" s="22" t="str">
        <x:f>IF(A832="","",COUNTIFS(Late_Transactions!E:E,A832,Late_Transactions!K:K,"Recorded"))</x:f>
      </x:c>
      <x:c r="F832" s="21" t="n">
        <x:f>IFERROR(MAXIFS(Late_Transactions!C:C,Late_Transactions!E:E,A832,Late_Transactions!K:K,"Recorded"),"")</x:f>
        <x:v>0</x:v>
      </x:c>
      <x:c r="G832" s="17" t="str">
        <x:f>IF(E832="","",IF(E832&gt;=5,"High",IF(E832&gt;=3,"Watch","OK")))</x:f>
      </x:c>
    </x:row>
    <x:row r="833">
      <x:c r="A833" s="17" t="str">
        <x:f>IF(Students!A833="","",Students!A833)</x:f>
      </x:c>
      <x:c r="B833" s="17" t="str">
        <x:f>IF(A833="","",Students!F833)</x:f>
      </x:c>
      <x:c r="C833" s="17" t="str">
        <x:f>IF(A833="","",Students!G833)</x:f>
      </x:c>
      <x:c r="D833" s="17" t="str">
        <x:f>IF(A833="","",Students!H833)</x:f>
      </x:c>
      <x:c r="E833" s="22" t="str">
        <x:f>IF(A833="","",COUNTIFS(Late_Transactions!E:E,A833,Late_Transactions!K:K,"Recorded"))</x:f>
      </x:c>
      <x:c r="F833" s="21" t="n">
        <x:f>IFERROR(MAXIFS(Late_Transactions!C:C,Late_Transactions!E:E,A833,Late_Transactions!K:K,"Recorded"),"")</x:f>
        <x:v>0</x:v>
      </x:c>
      <x:c r="G833" s="17" t="str">
        <x:f>IF(E833="","",IF(E833&gt;=5,"High",IF(E833&gt;=3,"Watch","OK")))</x:f>
      </x:c>
    </x:row>
    <x:row r="834">
      <x:c r="A834" s="17" t="str">
        <x:f>IF(Students!A834="","",Students!A834)</x:f>
      </x:c>
      <x:c r="B834" s="17" t="str">
        <x:f>IF(A834="","",Students!F834)</x:f>
      </x:c>
      <x:c r="C834" s="17" t="str">
        <x:f>IF(A834="","",Students!G834)</x:f>
      </x:c>
      <x:c r="D834" s="17" t="str">
        <x:f>IF(A834="","",Students!H834)</x:f>
      </x:c>
      <x:c r="E834" s="22" t="str">
        <x:f>IF(A834="","",COUNTIFS(Late_Transactions!E:E,A834,Late_Transactions!K:K,"Recorded"))</x:f>
      </x:c>
      <x:c r="F834" s="21" t="n">
        <x:f>IFERROR(MAXIFS(Late_Transactions!C:C,Late_Transactions!E:E,A834,Late_Transactions!K:K,"Recorded"),"")</x:f>
        <x:v>0</x:v>
      </x:c>
      <x:c r="G834" s="17" t="str">
        <x:f>IF(E834="","",IF(E834&gt;=5,"High",IF(E834&gt;=3,"Watch","OK")))</x:f>
      </x:c>
    </x:row>
    <x:row r="835">
      <x:c r="A835" s="17" t="str">
        <x:f>IF(Students!A835="","",Students!A835)</x:f>
      </x:c>
      <x:c r="B835" s="17" t="str">
        <x:f>IF(A835="","",Students!F835)</x:f>
      </x:c>
      <x:c r="C835" s="17" t="str">
        <x:f>IF(A835="","",Students!G835)</x:f>
      </x:c>
      <x:c r="D835" s="17" t="str">
        <x:f>IF(A835="","",Students!H835)</x:f>
      </x:c>
      <x:c r="E835" s="22" t="str">
        <x:f>IF(A835="","",COUNTIFS(Late_Transactions!E:E,A835,Late_Transactions!K:K,"Recorded"))</x:f>
      </x:c>
      <x:c r="F835" s="21" t="n">
        <x:f>IFERROR(MAXIFS(Late_Transactions!C:C,Late_Transactions!E:E,A835,Late_Transactions!K:K,"Recorded"),"")</x:f>
        <x:v>0</x:v>
      </x:c>
      <x:c r="G835" s="17" t="str">
        <x:f>IF(E835="","",IF(E835&gt;=5,"High",IF(E835&gt;=3,"Watch","OK")))</x:f>
      </x:c>
    </x:row>
    <x:row r="836">
      <x:c r="A836" s="17" t="str">
        <x:f>IF(Students!A836="","",Students!A836)</x:f>
      </x:c>
      <x:c r="B836" s="17" t="str">
        <x:f>IF(A836="","",Students!F836)</x:f>
      </x:c>
      <x:c r="C836" s="17" t="str">
        <x:f>IF(A836="","",Students!G836)</x:f>
      </x:c>
      <x:c r="D836" s="17" t="str">
        <x:f>IF(A836="","",Students!H836)</x:f>
      </x:c>
      <x:c r="E836" s="22" t="str">
        <x:f>IF(A836="","",COUNTIFS(Late_Transactions!E:E,A836,Late_Transactions!K:K,"Recorded"))</x:f>
      </x:c>
      <x:c r="F836" s="21" t="n">
        <x:f>IFERROR(MAXIFS(Late_Transactions!C:C,Late_Transactions!E:E,A836,Late_Transactions!K:K,"Recorded"),"")</x:f>
        <x:v>0</x:v>
      </x:c>
      <x:c r="G836" s="17" t="str">
        <x:f>IF(E836="","",IF(E836&gt;=5,"High",IF(E836&gt;=3,"Watch","OK")))</x:f>
      </x:c>
    </x:row>
    <x:row r="837">
      <x:c r="A837" s="17" t="str">
        <x:f>IF(Students!A837="","",Students!A837)</x:f>
      </x:c>
      <x:c r="B837" s="17" t="str">
        <x:f>IF(A837="","",Students!F837)</x:f>
      </x:c>
      <x:c r="C837" s="17" t="str">
        <x:f>IF(A837="","",Students!G837)</x:f>
      </x:c>
      <x:c r="D837" s="17" t="str">
        <x:f>IF(A837="","",Students!H837)</x:f>
      </x:c>
      <x:c r="E837" s="22" t="str">
        <x:f>IF(A837="","",COUNTIFS(Late_Transactions!E:E,A837,Late_Transactions!K:K,"Recorded"))</x:f>
      </x:c>
      <x:c r="F837" s="21" t="n">
        <x:f>IFERROR(MAXIFS(Late_Transactions!C:C,Late_Transactions!E:E,A837,Late_Transactions!K:K,"Recorded"),"")</x:f>
        <x:v>0</x:v>
      </x:c>
      <x:c r="G837" s="17" t="str">
        <x:f>IF(E837="","",IF(E837&gt;=5,"High",IF(E837&gt;=3,"Watch","OK")))</x:f>
      </x:c>
    </x:row>
    <x:row r="838">
      <x:c r="A838" s="17" t="str">
        <x:f>IF(Students!A838="","",Students!A838)</x:f>
      </x:c>
      <x:c r="B838" s="17" t="str">
        <x:f>IF(A838="","",Students!F838)</x:f>
      </x:c>
      <x:c r="C838" s="17" t="str">
        <x:f>IF(A838="","",Students!G838)</x:f>
      </x:c>
      <x:c r="D838" s="17" t="str">
        <x:f>IF(A838="","",Students!H838)</x:f>
      </x:c>
      <x:c r="E838" s="22" t="str">
        <x:f>IF(A838="","",COUNTIFS(Late_Transactions!E:E,A838,Late_Transactions!K:K,"Recorded"))</x:f>
      </x:c>
      <x:c r="F838" s="21" t="n">
        <x:f>IFERROR(MAXIFS(Late_Transactions!C:C,Late_Transactions!E:E,A838,Late_Transactions!K:K,"Recorded"),"")</x:f>
        <x:v>0</x:v>
      </x:c>
      <x:c r="G838" s="17" t="str">
        <x:f>IF(E838="","",IF(E838&gt;=5,"High",IF(E838&gt;=3,"Watch","OK")))</x:f>
      </x:c>
    </x:row>
    <x:row r="839">
      <x:c r="A839" s="17" t="str">
        <x:f>IF(Students!A839="","",Students!A839)</x:f>
      </x:c>
      <x:c r="B839" s="17" t="str">
        <x:f>IF(A839="","",Students!F839)</x:f>
      </x:c>
      <x:c r="C839" s="17" t="str">
        <x:f>IF(A839="","",Students!G839)</x:f>
      </x:c>
      <x:c r="D839" s="17" t="str">
        <x:f>IF(A839="","",Students!H839)</x:f>
      </x:c>
      <x:c r="E839" s="22" t="str">
        <x:f>IF(A839="","",COUNTIFS(Late_Transactions!E:E,A839,Late_Transactions!K:K,"Recorded"))</x:f>
      </x:c>
      <x:c r="F839" s="21" t="n">
        <x:f>IFERROR(MAXIFS(Late_Transactions!C:C,Late_Transactions!E:E,A839,Late_Transactions!K:K,"Recorded"),"")</x:f>
        <x:v>0</x:v>
      </x:c>
      <x:c r="G839" s="17" t="str">
        <x:f>IF(E839="","",IF(E839&gt;=5,"High",IF(E839&gt;=3,"Watch","OK")))</x:f>
      </x:c>
    </x:row>
    <x:row r="840">
      <x:c r="A840" s="17" t="str">
        <x:f>IF(Students!A840="","",Students!A840)</x:f>
      </x:c>
      <x:c r="B840" s="17" t="str">
        <x:f>IF(A840="","",Students!F840)</x:f>
      </x:c>
      <x:c r="C840" s="17" t="str">
        <x:f>IF(A840="","",Students!G840)</x:f>
      </x:c>
      <x:c r="D840" s="17" t="str">
        <x:f>IF(A840="","",Students!H840)</x:f>
      </x:c>
      <x:c r="E840" s="22" t="str">
        <x:f>IF(A840="","",COUNTIFS(Late_Transactions!E:E,A840,Late_Transactions!K:K,"Recorded"))</x:f>
      </x:c>
      <x:c r="F840" s="21" t="n">
        <x:f>IFERROR(MAXIFS(Late_Transactions!C:C,Late_Transactions!E:E,A840,Late_Transactions!K:K,"Recorded"),"")</x:f>
        <x:v>0</x:v>
      </x:c>
      <x:c r="G840" s="17" t="str">
        <x:f>IF(E840="","",IF(E840&gt;=5,"High",IF(E840&gt;=3,"Watch","OK")))</x:f>
      </x:c>
    </x:row>
    <x:row r="841">
      <x:c r="A841" s="17" t="str">
        <x:f>IF(Students!A841="","",Students!A841)</x:f>
      </x:c>
      <x:c r="B841" s="17" t="str">
        <x:f>IF(A841="","",Students!F841)</x:f>
      </x:c>
      <x:c r="C841" s="17" t="str">
        <x:f>IF(A841="","",Students!G841)</x:f>
      </x:c>
      <x:c r="D841" s="17" t="str">
        <x:f>IF(A841="","",Students!H841)</x:f>
      </x:c>
      <x:c r="E841" s="22" t="str">
        <x:f>IF(A841="","",COUNTIFS(Late_Transactions!E:E,A841,Late_Transactions!K:K,"Recorded"))</x:f>
      </x:c>
      <x:c r="F841" s="21" t="n">
        <x:f>IFERROR(MAXIFS(Late_Transactions!C:C,Late_Transactions!E:E,A841,Late_Transactions!K:K,"Recorded"),"")</x:f>
        <x:v>0</x:v>
      </x:c>
      <x:c r="G841" s="17" t="str">
        <x:f>IF(E841="","",IF(E841&gt;=5,"High",IF(E841&gt;=3,"Watch","OK")))</x:f>
      </x:c>
    </x:row>
    <x:row r="842">
      <x:c r="A842" s="17" t="str">
        <x:f>IF(Students!A842="","",Students!A842)</x:f>
      </x:c>
      <x:c r="B842" s="17" t="str">
        <x:f>IF(A842="","",Students!F842)</x:f>
      </x:c>
      <x:c r="C842" s="17" t="str">
        <x:f>IF(A842="","",Students!G842)</x:f>
      </x:c>
      <x:c r="D842" s="17" t="str">
        <x:f>IF(A842="","",Students!H842)</x:f>
      </x:c>
      <x:c r="E842" s="22" t="str">
        <x:f>IF(A842="","",COUNTIFS(Late_Transactions!E:E,A842,Late_Transactions!K:K,"Recorded"))</x:f>
      </x:c>
      <x:c r="F842" s="21" t="n">
        <x:f>IFERROR(MAXIFS(Late_Transactions!C:C,Late_Transactions!E:E,A842,Late_Transactions!K:K,"Recorded"),"")</x:f>
        <x:v>0</x:v>
      </x:c>
      <x:c r="G842" s="17" t="str">
        <x:f>IF(E842="","",IF(E842&gt;=5,"High",IF(E842&gt;=3,"Watch","OK")))</x:f>
      </x:c>
    </x:row>
    <x:row r="843">
      <x:c r="A843" s="17" t="str">
        <x:f>IF(Students!A843="","",Students!A843)</x:f>
      </x:c>
      <x:c r="B843" s="17" t="str">
        <x:f>IF(A843="","",Students!F843)</x:f>
      </x:c>
      <x:c r="C843" s="17" t="str">
        <x:f>IF(A843="","",Students!G843)</x:f>
      </x:c>
      <x:c r="D843" s="17" t="str">
        <x:f>IF(A843="","",Students!H843)</x:f>
      </x:c>
      <x:c r="E843" s="22" t="str">
        <x:f>IF(A843="","",COUNTIFS(Late_Transactions!E:E,A843,Late_Transactions!K:K,"Recorded"))</x:f>
      </x:c>
      <x:c r="F843" s="21" t="n">
        <x:f>IFERROR(MAXIFS(Late_Transactions!C:C,Late_Transactions!E:E,A843,Late_Transactions!K:K,"Recorded"),"")</x:f>
        <x:v>0</x:v>
      </x:c>
      <x:c r="G843" s="17" t="str">
        <x:f>IF(E843="","",IF(E843&gt;=5,"High",IF(E843&gt;=3,"Watch","OK")))</x:f>
      </x:c>
    </x:row>
    <x:row r="844">
      <x:c r="A844" s="17" t="str">
        <x:f>IF(Students!A844="","",Students!A844)</x:f>
      </x:c>
      <x:c r="B844" s="17" t="str">
        <x:f>IF(A844="","",Students!F844)</x:f>
      </x:c>
      <x:c r="C844" s="17" t="str">
        <x:f>IF(A844="","",Students!G844)</x:f>
      </x:c>
      <x:c r="D844" s="17" t="str">
        <x:f>IF(A844="","",Students!H844)</x:f>
      </x:c>
      <x:c r="E844" s="22" t="str">
        <x:f>IF(A844="","",COUNTIFS(Late_Transactions!E:E,A844,Late_Transactions!K:K,"Recorded"))</x:f>
      </x:c>
      <x:c r="F844" s="21" t="n">
        <x:f>IFERROR(MAXIFS(Late_Transactions!C:C,Late_Transactions!E:E,A844,Late_Transactions!K:K,"Recorded"),"")</x:f>
        <x:v>0</x:v>
      </x:c>
      <x:c r="G844" s="17" t="str">
        <x:f>IF(E844="","",IF(E844&gt;=5,"High",IF(E844&gt;=3,"Watch","OK")))</x:f>
      </x:c>
    </x:row>
    <x:row r="845">
      <x:c r="A845" s="17" t="str">
        <x:f>IF(Students!A845="","",Students!A845)</x:f>
      </x:c>
      <x:c r="B845" s="17" t="str">
        <x:f>IF(A845="","",Students!F845)</x:f>
      </x:c>
      <x:c r="C845" s="17" t="str">
        <x:f>IF(A845="","",Students!G845)</x:f>
      </x:c>
      <x:c r="D845" s="17" t="str">
        <x:f>IF(A845="","",Students!H845)</x:f>
      </x:c>
      <x:c r="E845" s="22" t="str">
        <x:f>IF(A845="","",COUNTIFS(Late_Transactions!E:E,A845,Late_Transactions!K:K,"Recorded"))</x:f>
      </x:c>
      <x:c r="F845" s="21" t="n">
        <x:f>IFERROR(MAXIFS(Late_Transactions!C:C,Late_Transactions!E:E,A845,Late_Transactions!K:K,"Recorded"),"")</x:f>
        <x:v>0</x:v>
      </x:c>
      <x:c r="G845" s="17" t="str">
        <x:f>IF(E845="","",IF(E845&gt;=5,"High",IF(E845&gt;=3,"Watch","OK")))</x:f>
      </x:c>
    </x:row>
    <x:row r="846">
      <x:c r="A846" s="17" t="str">
        <x:f>IF(Students!A846="","",Students!A846)</x:f>
      </x:c>
      <x:c r="B846" s="17" t="str">
        <x:f>IF(A846="","",Students!F846)</x:f>
      </x:c>
      <x:c r="C846" s="17" t="str">
        <x:f>IF(A846="","",Students!G846)</x:f>
      </x:c>
      <x:c r="D846" s="17" t="str">
        <x:f>IF(A846="","",Students!H846)</x:f>
      </x:c>
      <x:c r="E846" s="22" t="str">
        <x:f>IF(A846="","",COUNTIFS(Late_Transactions!E:E,A846,Late_Transactions!K:K,"Recorded"))</x:f>
      </x:c>
      <x:c r="F846" s="21" t="n">
        <x:f>IFERROR(MAXIFS(Late_Transactions!C:C,Late_Transactions!E:E,A846,Late_Transactions!K:K,"Recorded"),"")</x:f>
        <x:v>0</x:v>
      </x:c>
      <x:c r="G846" s="17" t="str">
        <x:f>IF(E846="","",IF(E846&gt;=5,"High",IF(E846&gt;=3,"Watch","OK")))</x:f>
      </x:c>
    </x:row>
    <x:row r="847">
      <x:c r="A847" s="17" t="str">
        <x:f>IF(Students!A847="","",Students!A847)</x:f>
      </x:c>
      <x:c r="B847" s="17" t="str">
        <x:f>IF(A847="","",Students!F847)</x:f>
      </x:c>
      <x:c r="C847" s="17" t="str">
        <x:f>IF(A847="","",Students!G847)</x:f>
      </x:c>
      <x:c r="D847" s="17" t="str">
        <x:f>IF(A847="","",Students!H847)</x:f>
      </x:c>
      <x:c r="E847" s="22" t="str">
        <x:f>IF(A847="","",COUNTIFS(Late_Transactions!E:E,A847,Late_Transactions!K:K,"Recorded"))</x:f>
      </x:c>
      <x:c r="F847" s="21" t="n">
        <x:f>IFERROR(MAXIFS(Late_Transactions!C:C,Late_Transactions!E:E,A847,Late_Transactions!K:K,"Recorded"),"")</x:f>
        <x:v>0</x:v>
      </x:c>
      <x:c r="G847" s="17" t="str">
        <x:f>IF(E847="","",IF(E847&gt;=5,"High",IF(E847&gt;=3,"Watch","OK")))</x:f>
      </x:c>
    </x:row>
    <x:row r="848">
      <x:c r="A848" s="17" t="str">
        <x:f>IF(Students!A848="","",Students!A848)</x:f>
      </x:c>
      <x:c r="B848" s="17" t="str">
        <x:f>IF(A848="","",Students!F848)</x:f>
      </x:c>
      <x:c r="C848" s="17" t="str">
        <x:f>IF(A848="","",Students!G848)</x:f>
      </x:c>
      <x:c r="D848" s="17" t="str">
        <x:f>IF(A848="","",Students!H848)</x:f>
      </x:c>
      <x:c r="E848" s="22" t="str">
        <x:f>IF(A848="","",COUNTIFS(Late_Transactions!E:E,A848,Late_Transactions!K:K,"Recorded"))</x:f>
      </x:c>
      <x:c r="F848" s="21" t="n">
        <x:f>IFERROR(MAXIFS(Late_Transactions!C:C,Late_Transactions!E:E,A848,Late_Transactions!K:K,"Recorded"),"")</x:f>
        <x:v>0</x:v>
      </x:c>
      <x:c r="G848" s="17" t="str">
        <x:f>IF(E848="","",IF(E848&gt;=5,"High",IF(E848&gt;=3,"Watch","OK")))</x:f>
      </x:c>
    </x:row>
    <x:row r="849">
      <x:c r="A849" s="17" t="str">
        <x:f>IF(Students!A849="","",Students!A849)</x:f>
      </x:c>
      <x:c r="B849" s="17" t="str">
        <x:f>IF(A849="","",Students!F849)</x:f>
      </x:c>
      <x:c r="C849" s="17" t="str">
        <x:f>IF(A849="","",Students!G849)</x:f>
      </x:c>
      <x:c r="D849" s="17" t="str">
        <x:f>IF(A849="","",Students!H849)</x:f>
      </x:c>
      <x:c r="E849" s="22" t="str">
        <x:f>IF(A849="","",COUNTIFS(Late_Transactions!E:E,A849,Late_Transactions!K:K,"Recorded"))</x:f>
      </x:c>
      <x:c r="F849" s="21" t="n">
        <x:f>IFERROR(MAXIFS(Late_Transactions!C:C,Late_Transactions!E:E,A849,Late_Transactions!K:K,"Recorded"),"")</x:f>
        <x:v>0</x:v>
      </x:c>
      <x:c r="G849" s="17" t="str">
        <x:f>IF(E849="","",IF(E849&gt;=5,"High",IF(E849&gt;=3,"Watch","OK")))</x:f>
      </x:c>
    </x:row>
    <x:row r="850">
      <x:c r="A850" s="17" t="str">
        <x:f>IF(Students!A850="","",Students!A850)</x:f>
      </x:c>
      <x:c r="B850" s="17" t="str">
        <x:f>IF(A850="","",Students!F850)</x:f>
      </x:c>
      <x:c r="C850" s="17" t="str">
        <x:f>IF(A850="","",Students!G850)</x:f>
      </x:c>
      <x:c r="D850" s="17" t="str">
        <x:f>IF(A850="","",Students!H850)</x:f>
      </x:c>
      <x:c r="E850" s="22" t="str">
        <x:f>IF(A850="","",COUNTIFS(Late_Transactions!E:E,A850,Late_Transactions!K:K,"Recorded"))</x:f>
      </x:c>
      <x:c r="F850" s="21" t="n">
        <x:f>IFERROR(MAXIFS(Late_Transactions!C:C,Late_Transactions!E:E,A850,Late_Transactions!K:K,"Recorded"),"")</x:f>
        <x:v>0</x:v>
      </x:c>
      <x:c r="G850" s="17" t="str">
        <x:f>IF(E850="","",IF(E850&gt;=5,"High",IF(E850&gt;=3,"Watch","OK")))</x:f>
      </x:c>
    </x:row>
    <x:row r="851">
      <x:c r="A851" s="17" t="str">
        <x:f>IF(Students!A851="","",Students!A851)</x:f>
      </x:c>
      <x:c r="B851" s="17" t="str">
        <x:f>IF(A851="","",Students!F851)</x:f>
      </x:c>
      <x:c r="C851" s="17" t="str">
        <x:f>IF(A851="","",Students!G851)</x:f>
      </x:c>
      <x:c r="D851" s="17" t="str">
        <x:f>IF(A851="","",Students!H851)</x:f>
      </x:c>
      <x:c r="E851" s="22" t="str">
        <x:f>IF(A851="","",COUNTIFS(Late_Transactions!E:E,A851,Late_Transactions!K:K,"Recorded"))</x:f>
      </x:c>
      <x:c r="F851" s="21" t="n">
        <x:f>IFERROR(MAXIFS(Late_Transactions!C:C,Late_Transactions!E:E,A851,Late_Transactions!K:K,"Recorded"),"")</x:f>
        <x:v>0</x:v>
      </x:c>
      <x:c r="G851" s="17" t="str">
        <x:f>IF(E851="","",IF(E851&gt;=5,"High",IF(E851&gt;=3,"Watch","OK")))</x:f>
      </x:c>
    </x:row>
    <x:row r="852">
      <x:c r="A852" s="17" t="str">
        <x:f>IF(Students!A852="","",Students!A852)</x:f>
      </x:c>
      <x:c r="B852" s="17" t="str">
        <x:f>IF(A852="","",Students!F852)</x:f>
      </x:c>
      <x:c r="C852" s="17" t="str">
        <x:f>IF(A852="","",Students!G852)</x:f>
      </x:c>
      <x:c r="D852" s="17" t="str">
        <x:f>IF(A852="","",Students!H852)</x:f>
      </x:c>
      <x:c r="E852" s="22" t="str">
        <x:f>IF(A852="","",COUNTIFS(Late_Transactions!E:E,A852,Late_Transactions!K:K,"Recorded"))</x:f>
      </x:c>
      <x:c r="F852" s="21" t="n">
        <x:f>IFERROR(MAXIFS(Late_Transactions!C:C,Late_Transactions!E:E,A852,Late_Transactions!K:K,"Recorded"),"")</x:f>
        <x:v>0</x:v>
      </x:c>
      <x:c r="G852" s="17" t="str">
        <x:f>IF(E852="","",IF(E852&gt;=5,"High",IF(E852&gt;=3,"Watch","OK")))</x:f>
      </x:c>
    </x:row>
    <x:row r="853">
      <x:c r="A853" s="17" t="str">
        <x:f>IF(Students!A853="","",Students!A853)</x:f>
      </x:c>
      <x:c r="B853" s="17" t="str">
        <x:f>IF(A853="","",Students!F853)</x:f>
      </x:c>
      <x:c r="C853" s="17" t="str">
        <x:f>IF(A853="","",Students!G853)</x:f>
      </x:c>
      <x:c r="D853" s="17" t="str">
        <x:f>IF(A853="","",Students!H853)</x:f>
      </x:c>
      <x:c r="E853" s="22" t="str">
        <x:f>IF(A853="","",COUNTIFS(Late_Transactions!E:E,A853,Late_Transactions!K:K,"Recorded"))</x:f>
      </x:c>
      <x:c r="F853" s="21" t="n">
        <x:f>IFERROR(MAXIFS(Late_Transactions!C:C,Late_Transactions!E:E,A853,Late_Transactions!K:K,"Recorded"),"")</x:f>
        <x:v>0</x:v>
      </x:c>
      <x:c r="G853" s="17" t="str">
        <x:f>IF(E853="","",IF(E853&gt;=5,"High",IF(E853&gt;=3,"Watch","OK")))</x:f>
      </x:c>
    </x:row>
    <x:row r="854">
      <x:c r="A854" s="17" t="str">
        <x:f>IF(Students!A854="","",Students!A854)</x:f>
      </x:c>
      <x:c r="B854" s="17" t="str">
        <x:f>IF(A854="","",Students!F854)</x:f>
      </x:c>
      <x:c r="C854" s="17" t="str">
        <x:f>IF(A854="","",Students!G854)</x:f>
      </x:c>
      <x:c r="D854" s="17" t="str">
        <x:f>IF(A854="","",Students!H854)</x:f>
      </x:c>
      <x:c r="E854" s="22" t="str">
        <x:f>IF(A854="","",COUNTIFS(Late_Transactions!E:E,A854,Late_Transactions!K:K,"Recorded"))</x:f>
      </x:c>
      <x:c r="F854" s="21" t="n">
        <x:f>IFERROR(MAXIFS(Late_Transactions!C:C,Late_Transactions!E:E,A854,Late_Transactions!K:K,"Recorded"),"")</x:f>
        <x:v>0</x:v>
      </x:c>
      <x:c r="G854" s="17" t="str">
        <x:f>IF(E854="","",IF(E854&gt;=5,"High",IF(E854&gt;=3,"Watch","OK")))</x:f>
      </x:c>
    </x:row>
    <x:row r="855">
      <x:c r="A855" s="17" t="str">
        <x:f>IF(Students!A855="","",Students!A855)</x:f>
      </x:c>
      <x:c r="B855" s="17" t="str">
        <x:f>IF(A855="","",Students!F855)</x:f>
      </x:c>
      <x:c r="C855" s="17" t="str">
        <x:f>IF(A855="","",Students!G855)</x:f>
      </x:c>
      <x:c r="D855" s="17" t="str">
        <x:f>IF(A855="","",Students!H855)</x:f>
      </x:c>
      <x:c r="E855" s="22" t="str">
        <x:f>IF(A855="","",COUNTIFS(Late_Transactions!E:E,A855,Late_Transactions!K:K,"Recorded"))</x:f>
      </x:c>
      <x:c r="F855" s="21" t="n">
        <x:f>IFERROR(MAXIFS(Late_Transactions!C:C,Late_Transactions!E:E,A855,Late_Transactions!K:K,"Recorded"),"")</x:f>
        <x:v>0</x:v>
      </x:c>
      <x:c r="G855" s="17" t="str">
        <x:f>IF(E855="","",IF(E855&gt;=5,"High",IF(E855&gt;=3,"Watch","OK")))</x:f>
      </x:c>
    </x:row>
    <x:row r="856">
      <x:c r="A856" s="17" t="str">
        <x:f>IF(Students!A856="","",Students!A856)</x:f>
      </x:c>
      <x:c r="B856" s="17" t="str">
        <x:f>IF(A856="","",Students!F856)</x:f>
      </x:c>
      <x:c r="C856" s="17" t="str">
        <x:f>IF(A856="","",Students!G856)</x:f>
      </x:c>
      <x:c r="D856" s="17" t="str">
        <x:f>IF(A856="","",Students!H856)</x:f>
      </x:c>
      <x:c r="E856" s="22" t="str">
        <x:f>IF(A856="","",COUNTIFS(Late_Transactions!E:E,A856,Late_Transactions!K:K,"Recorded"))</x:f>
      </x:c>
      <x:c r="F856" s="21" t="n">
        <x:f>IFERROR(MAXIFS(Late_Transactions!C:C,Late_Transactions!E:E,A856,Late_Transactions!K:K,"Recorded"),"")</x:f>
        <x:v>0</x:v>
      </x:c>
      <x:c r="G856" s="17" t="str">
        <x:f>IF(E856="","",IF(E856&gt;=5,"High",IF(E856&gt;=3,"Watch","OK")))</x:f>
      </x:c>
    </x:row>
    <x:row r="857">
      <x:c r="A857" s="17" t="str">
        <x:f>IF(Students!A857="","",Students!A857)</x:f>
      </x:c>
      <x:c r="B857" s="17" t="str">
        <x:f>IF(A857="","",Students!F857)</x:f>
      </x:c>
      <x:c r="C857" s="17" t="str">
        <x:f>IF(A857="","",Students!G857)</x:f>
      </x:c>
      <x:c r="D857" s="17" t="str">
        <x:f>IF(A857="","",Students!H857)</x:f>
      </x:c>
      <x:c r="E857" s="22" t="str">
        <x:f>IF(A857="","",COUNTIFS(Late_Transactions!E:E,A857,Late_Transactions!K:K,"Recorded"))</x:f>
      </x:c>
      <x:c r="F857" s="21" t="n">
        <x:f>IFERROR(MAXIFS(Late_Transactions!C:C,Late_Transactions!E:E,A857,Late_Transactions!K:K,"Recorded"),"")</x:f>
        <x:v>0</x:v>
      </x:c>
      <x:c r="G857" s="17" t="str">
        <x:f>IF(E857="","",IF(E857&gt;=5,"High",IF(E857&gt;=3,"Watch","OK")))</x:f>
      </x:c>
    </x:row>
    <x:row r="858">
      <x:c r="A858" s="17" t="str">
        <x:f>IF(Students!A858="","",Students!A858)</x:f>
      </x:c>
      <x:c r="B858" s="17" t="str">
        <x:f>IF(A858="","",Students!F858)</x:f>
      </x:c>
      <x:c r="C858" s="17" t="str">
        <x:f>IF(A858="","",Students!G858)</x:f>
      </x:c>
      <x:c r="D858" s="17" t="str">
        <x:f>IF(A858="","",Students!H858)</x:f>
      </x:c>
      <x:c r="E858" s="22" t="str">
        <x:f>IF(A858="","",COUNTIFS(Late_Transactions!E:E,A858,Late_Transactions!K:K,"Recorded"))</x:f>
      </x:c>
      <x:c r="F858" s="21" t="n">
        <x:f>IFERROR(MAXIFS(Late_Transactions!C:C,Late_Transactions!E:E,A858,Late_Transactions!K:K,"Recorded"),"")</x:f>
        <x:v>0</x:v>
      </x:c>
      <x:c r="G858" s="17" t="str">
        <x:f>IF(E858="","",IF(E858&gt;=5,"High",IF(E858&gt;=3,"Watch","OK")))</x:f>
      </x:c>
    </x:row>
    <x:row r="859">
      <x:c r="A859" s="17" t="str">
        <x:f>IF(Students!A859="","",Students!A859)</x:f>
      </x:c>
      <x:c r="B859" s="17" t="str">
        <x:f>IF(A859="","",Students!F859)</x:f>
      </x:c>
      <x:c r="C859" s="17" t="str">
        <x:f>IF(A859="","",Students!G859)</x:f>
      </x:c>
      <x:c r="D859" s="17" t="str">
        <x:f>IF(A859="","",Students!H859)</x:f>
      </x:c>
      <x:c r="E859" s="22" t="str">
        <x:f>IF(A859="","",COUNTIFS(Late_Transactions!E:E,A859,Late_Transactions!K:K,"Recorded"))</x:f>
      </x:c>
      <x:c r="F859" s="21" t="n">
        <x:f>IFERROR(MAXIFS(Late_Transactions!C:C,Late_Transactions!E:E,A859,Late_Transactions!K:K,"Recorded"),"")</x:f>
        <x:v>0</x:v>
      </x:c>
      <x:c r="G859" s="17" t="str">
        <x:f>IF(E859="","",IF(E859&gt;=5,"High",IF(E859&gt;=3,"Watch","OK")))</x:f>
      </x:c>
    </x:row>
    <x:row r="860">
      <x:c r="A860" s="17" t="str">
        <x:f>IF(Students!A860="","",Students!A860)</x:f>
      </x:c>
      <x:c r="B860" s="17" t="str">
        <x:f>IF(A860="","",Students!F860)</x:f>
      </x:c>
      <x:c r="C860" s="17" t="str">
        <x:f>IF(A860="","",Students!G860)</x:f>
      </x:c>
      <x:c r="D860" s="17" t="str">
        <x:f>IF(A860="","",Students!H860)</x:f>
      </x:c>
      <x:c r="E860" s="22" t="str">
        <x:f>IF(A860="","",COUNTIFS(Late_Transactions!E:E,A860,Late_Transactions!K:K,"Recorded"))</x:f>
      </x:c>
      <x:c r="F860" s="21" t="n">
        <x:f>IFERROR(MAXIFS(Late_Transactions!C:C,Late_Transactions!E:E,A860,Late_Transactions!K:K,"Recorded"),"")</x:f>
        <x:v>0</x:v>
      </x:c>
      <x:c r="G860" s="17" t="str">
        <x:f>IF(E860="","",IF(E860&gt;=5,"High",IF(E860&gt;=3,"Watch","OK")))</x:f>
      </x:c>
    </x:row>
    <x:row r="861">
      <x:c r="A861" s="17" t="str">
        <x:f>IF(Students!A861="","",Students!A861)</x:f>
      </x:c>
      <x:c r="B861" s="17" t="str">
        <x:f>IF(A861="","",Students!F861)</x:f>
      </x:c>
      <x:c r="C861" s="17" t="str">
        <x:f>IF(A861="","",Students!G861)</x:f>
      </x:c>
      <x:c r="D861" s="17" t="str">
        <x:f>IF(A861="","",Students!H861)</x:f>
      </x:c>
      <x:c r="E861" s="22" t="str">
        <x:f>IF(A861="","",COUNTIFS(Late_Transactions!E:E,A861,Late_Transactions!K:K,"Recorded"))</x:f>
      </x:c>
      <x:c r="F861" s="21" t="n">
        <x:f>IFERROR(MAXIFS(Late_Transactions!C:C,Late_Transactions!E:E,A861,Late_Transactions!K:K,"Recorded"),"")</x:f>
        <x:v>0</x:v>
      </x:c>
      <x:c r="G861" s="17" t="str">
        <x:f>IF(E861="","",IF(E861&gt;=5,"High",IF(E861&gt;=3,"Watch","OK")))</x:f>
      </x:c>
    </x:row>
    <x:row r="862">
      <x:c r="A862" s="17" t="str">
        <x:f>IF(Students!A862="","",Students!A862)</x:f>
      </x:c>
      <x:c r="B862" s="17" t="str">
        <x:f>IF(A862="","",Students!F862)</x:f>
      </x:c>
      <x:c r="C862" s="17" t="str">
        <x:f>IF(A862="","",Students!G862)</x:f>
      </x:c>
      <x:c r="D862" s="17" t="str">
        <x:f>IF(A862="","",Students!H862)</x:f>
      </x:c>
      <x:c r="E862" s="22" t="str">
        <x:f>IF(A862="","",COUNTIFS(Late_Transactions!E:E,A862,Late_Transactions!K:K,"Recorded"))</x:f>
      </x:c>
      <x:c r="F862" s="21" t="n">
        <x:f>IFERROR(MAXIFS(Late_Transactions!C:C,Late_Transactions!E:E,A862,Late_Transactions!K:K,"Recorded"),"")</x:f>
        <x:v>0</x:v>
      </x:c>
      <x:c r="G862" s="17" t="str">
        <x:f>IF(E862="","",IF(E862&gt;=5,"High",IF(E862&gt;=3,"Watch","OK")))</x:f>
      </x:c>
    </x:row>
    <x:row r="863">
      <x:c r="A863" s="17" t="str">
        <x:f>IF(Students!A863="","",Students!A863)</x:f>
      </x:c>
      <x:c r="B863" s="17" t="str">
        <x:f>IF(A863="","",Students!F863)</x:f>
      </x:c>
      <x:c r="C863" s="17" t="str">
        <x:f>IF(A863="","",Students!G863)</x:f>
      </x:c>
      <x:c r="D863" s="17" t="str">
        <x:f>IF(A863="","",Students!H863)</x:f>
      </x:c>
      <x:c r="E863" s="22" t="str">
        <x:f>IF(A863="","",COUNTIFS(Late_Transactions!E:E,A863,Late_Transactions!K:K,"Recorded"))</x:f>
      </x:c>
      <x:c r="F863" s="21" t="n">
        <x:f>IFERROR(MAXIFS(Late_Transactions!C:C,Late_Transactions!E:E,A863,Late_Transactions!K:K,"Recorded"),"")</x:f>
        <x:v>0</x:v>
      </x:c>
      <x:c r="G863" s="17" t="str">
        <x:f>IF(E863="","",IF(E863&gt;=5,"High",IF(E863&gt;=3,"Watch","OK")))</x:f>
      </x:c>
    </x:row>
    <x:row r="864">
      <x:c r="A864" s="17" t="str">
        <x:f>IF(Students!A864="","",Students!A864)</x:f>
      </x:c>
      <x:c r="B864" s="17" t="str">
        <x:f>IF(A864="","",Students!F864)</x:f>
      </x:c>
      <x:c r="C864" s="17" t="str">
        <x:f>IF(A864="","",Students!G864)</x:f>
      </x:c>
      <x:c r="D864" s="17" t="str">
        <x:f>IF(A864="","",Students!H864)</x:f>
      </x:c>
      <x:c r="E864" s="22" t="str">
        <x:f>IF(A864="","",COUNTIFS(Late_Transactions!E:E,A864,Late_Transactions!K:K,"Recorded"))</x:f>
      </x:c>
      <x:c r="F864" s="21" t="n">
        <x:f>IFERROR(MAXIFS(Late_Transactions!C:C,Late_Transactions!E:E,A864,Late_Transactions!K:K,"Recorded"),"")</x:f>
        <x:v>0</x:v>
      </x:c>
      <x:c r="G864" s="17" t="str">
        <x:f>IF(E864="","",IF(E864&gt;=5,"High",IF(E864&gt;=3,"Watch","OK")))</x:f>
      </x:c>
    </x:row>
    <x:row r="865">
      <x:c r="A865" s="17" t="str">
        <x:f>IF(Students!A865="","",Students!A865)</x:f>
      </x:c>
      <x:c r="B865" s="17" t="str">
        <x:f>IF(A865="","",Students!F865)</x:f>
      </x:c>
      <x:c r="C865" s="17" t="str">
        <x:f>IF(A865="","",Students!G865)</x:f>
      </x:c>
      <x:c r="D865" s="17" t="str">
        <x:f>IF(A865="","",Students!H865)</x:f>
      </x:c>
      <x:c r="E865" s="22" t="str">
        <x:f>IF(A865="","",COUNTIFS(Late_Transactions!E:E,A865,Late_Transactions!K:K,"Recorded"))</x:f>
      </x:c>
      <x:c r="F865" s="21" t="n">
        <x:f>IFERROR(MAXIFS(Late_Transactions!C:C,Late_Transactions!E:E,A865,Late_Transactions!K:K,"Recorded"),"")</x:f>
        <x:v>0</x:v>
      </x:c>
      <x:c r="G865" s="17" t="str">
        <x:f>IF(E865="","",IF(E865&gt;=5,"High",IF(E865&gt;=3,"Watch","OK")))</x:f>
      </x:c>
    </x:row>
    <x:row r="866">
      <x:c r="A866" s="17" t="str">
        <x:f>IF(Students!A866="","",Students!A866)</x:f>
      </x:c>
      <x:c r="B866" s="17" t="str">
        <x:f>IF(A866="","",Students!F866)</x:f>
      </x:c>
      <x:c r="C866" s="17" t="str">
        <x:f>IF(A866="","",Students!G866)</x:f>
      </x:c>
      <x:c r="D866" s="17" t="str">
        <x:f>IF(A866="","",Students!H866)</x:f>
      </x:c>
      <x:c r="E866" s="22" t="str">
        <x:f>IF(A866="","",COUNTIFS(Late_Transactions!E:E,A866,Late_Transactions!K:K,"Recorded"))</x:f>
      </x:c>
      <x:c r="F866" s="21" t="n">
        <x:f>IFERROR(MAXIFS(Late_Transactions!C:C,Late_Transactions!E:E,A866,Late_Transactions!K:K,"Recorded"),"")</x:f>
        <x:v>0</x:v>
      </x:c>
      <x:c r="G866" s="17" t="str">
        <x:f>IF(E866="","",IF(E866&gt;=5,"High",IF(E866&gt;=3,"Watch","OK")))</x:f>
      </x:c>
    </x:row>
    <x:row r="867">
      <x:c r="A867" s="17" t="str">
        <x:f>IF(Students!A867="","",Students!A867)</x:f>
      </x:c>
      <x:c r="B867" s="17" t="str">
        <x:f>IF(A867="","",Students!F867)</x:f>
      </x:c>
      <x:c r="C867" s="17" t="str">
        <x:f>IF(A867="","",Students!G867)</x:f>
      </x:c>
      <x:c r="D867" s="17" t="str">
        <x:f>IF(A867="","",Students!H867)</x:f>
      </x:c>
      <x:c r="E867" s="22" t="str">
        <x:f>IF(A867="","",COUNTIFS(Late_Transactions!E:E,A867,Late_Transactions!K:K,"Recorded"))</x:f>
      </x:c>
      <x:c r="F867" s="21" t="n">
        <x:f>IFERROR(MAXIFS(Late_Transactions!C:C,Late_Transactions!E:E,A867,Late_Transactions!K:K,"Recorded"),"")</x:f>
        <x:v>0</x:v>
      </x:c>
      <x:c r="G867" s="17" t="str">
        <x:f>IF(E867="","",IF(E867&gt;=5,"High",IF(E867&gt;=3,"Watch","OK")))</x:f>
      </x:c>
    </x:row>
    <x:row r="868">
      <x:c r="A868" s="17" t="str">
        <x:f>IF(Students!A868="","",Students!A868)</x:f>
      </x:c>
      <x:c r="B868" s="17" t="str">
        <x:f>IF(A868="","",Students!F868)</x:f>
      </x:c>
      <x:c r="C868" s="17" t="str">
        <x:f>IF(A868="","",Students!G868)</x:f>
      </x:c>
      <x:c r="D868" s="17" t="str">
        <x:f>IF(A868="","",Students!H868)</x:f>
      </x:c>
      <x:c r="E868" s="22" t="str">
        <x:f>IF(A868="","",COUNTIFS(Late_Transactions!E:E,A868,Late_Transactions!K:K,"Recorded"))</x:f>
      </x:c>
      <x:c r="F868" s="21" t="n">
        <x:f>IFERROR(MAXIFS(Late_Transactions!C:C,Late_Transactions!E:E,A868,Late_Transactions!K:K,"Recorded"),"")</x:f>
        <x:v>0</x:v>
      </x:c>
      <x:c r="G868" s="17" t="str">
        <x:f>IF(E868="","",IF(E868&gt;=5,"High",IF(E868&gt;=3,"Watch","OK")))</x:f>
      </x:c>
    </x:row>
    <x:row r="869">
      <x:c r="A869" s="17" t="str">
        <x:f>IF(Students!A869="","",Students!A869)</x:f>
      </x:c>
      <x:c r="B869" s="17" t="str">
        <x:f>IF(A869="","",Students!F869)</x:f>
      </x:c>
      <x:c r="C869" s="17" t="str">
        <x:f>IF(A869="","",Students!G869)</x:f>
      </x:c>
      <x:c r="D869" s="17" t="str">
        <x:f>IF(A869="","",Students!H869)</x:f>
      </x:c>
      <x:c r="E869" s="22" t="str">
        <x:f>IF(A869="","",COUNTIFS(Late_Transactions!E:E,A869,Late_Transactions!K:K,"Recorded"))</x:f>
      </x:c>
      <x:c r="F869" s="21" t="n">
        <x:f>IFERROR(MAXIFS(Late_Transactions!C:C,Late_Transactions!E:E,A869,Late_Transactions!K:K,"Recorded"),"")</x:f>
        <x:v>0</x:v>
      </x:c>
      <x:c r="G869" s="17" t="str">
        <x:f>IF(E869="","",IF(E869&gt;=5,"High",IF(E869&gt;=3,"Watch","OK")))</x:f>
      </x:c>
    </x:row>
    <x:row r="870">
      <x:c r="A870" s="17" t="str">
        <x:f>IF(Students!A870="","",Students!A870)</x:f>
      </x:c>
      <x:c r="B870" s="17" t="str">
        <x:f>IF(A870="","",Students!F870)</x:f>
      </x:c>
      <x:c r="C870" s="17" t="str">
        <x:f>IF(A870="","",Students!G870)</x:f>
      </x:c>
      <x:c r="D870" s="17" t="str">
        <x:f>IF(A870="","",Students!H870)</x:f>
      </x:c>
      <x:c r="E870" s="22" t="str">
        <x:f>IF(A870="","",COUNTIFS(Late_Transactions!E:E,A870,Late_Transactions!K:K,"Recorded"))</x:f>
      </x:c>
      <x:c r="F870" s="21" t="n">
        <x:f>IFERROR(MAXIFS(Late_Transactions!C:C,Late_Transactions!E:E,A870,Late_Transactions!K:K,"Recorded"),"")</x:f>
        <x:v>0</x:v>
      </x:c>
      <x:c r="G870" s="17" t="str">
        <x:f>IF(E870="","",IF(E870&gt;=5,"High",IF(E870&gt;=3,"Watch","OK")))</x:f>
      </x:c>
    </x:row>
    <x:row r="871">
      <x:c r="A871" s="17" t="str">
        <x:f>IF(Students!A871="","",Students!A871)</x:f>
      </x:c>
      <x:c r="B871" s="17" t="str">
        <x:f>IF(A871="","",Students!F871)</x:f>
      </x:c>
      <x:c r="C871" s="17" t="str">
        <x:f>IF(A871="","",Students!G871)</x:f>
      </x:c>
      <x:c r="D871" s="17" t="str">
        <x:f>IF(A871="","",Students!H871)</x:f>
      </x:c>
      <x:c r="E871" s="22" t="str">
        <x:f>IF(A871="","",COUNTIFS(Late_Transactions!E:E,A871,Late_Transactions!K:K,"Recorded"))</x:f>
      </x:c>
      <x:c r="F871" s="21" t="n">
        <x:f>IFERROR(MAXIFS(Late_Transactions!C:C,Late_Transactions!E:E,A871,Late_Transactions!K:K,"Recorded"),"")</x:f>
        <x:v>0</x:v>
      </x:c>
      <x:c r="G871" s="17" t="str">
        <x:f>IF(E871="","",IF(E871&gt;=5,"High",IF(E871&gt;=3,"Watch","OK")))</x:f>
      </x:c>
    </x:row>
    <x:row r="872">
      <x:c r="A872" s="17" t="str">
        <x:f>IF(Students!A872="","",Students!A872)</x:f>
      </x:c>
      <x:c r="B872" s="17" t="str">
        <x:f>IF(A872="","",Students!F872)</x:f>
      </x:c>
      <x:c r="C872" s="17" t="str">
        <x:f>IF(A872="","",Students!G872)</x:f>
      </x:c>
      <x:c r="D872" s="17" t="str">
        <x:f>IF(A872="","",Students!H872)</x:f>
      </x:c>
      <x:c r="E872" s="22" t="str">
        <x:f>IF(A872="","",COUNTIFS(Late_Transactions!E:E,A872,Late_Transactions!K:K,"Recorded"))</x:f>
      </x:c>
      <x:c r="F872" s="21" t="n">
        <x:f>IFERROR(MAXIFS(Late_Transactions!C:C,Late_Transactions!E:E,A872,Late_Transactions!K:K,"Recorded"),"")</x:f>
        <x:v>0</x:v>
      </x:c>
      <x:c r="G872" s="17" t="str">
        <x:f>IF(E872="","",IF(E872&gt;=5,"High",IF(E872&gt;=3,"Watch","OK")))</x:f>
      </x:c>
    </x:row>
    <x:row r="873">
      <x:c r="A873" s="17" t="str">
        <x:f>IF(Students!A873="","",Students!A873)</x:f>
      </x:c>
      <x:c r="B873" s="17" t="str">
        <x:f>IF(A873="","",Students!F873)</x:f>
      </x:c>
      <x:c r="C873" s="17" t="str">
        <x:f>IF(A873="","",Students!G873)</x:f>
      </x:c>
      <x:c r="D873" s="17" t="str">
        <x:f>IF(A873="","",Students!H873)</x:f>
      </x:c>
      <x:c r="E873" s="22" t="str">
        <x:f>IF(A873="","",COUNTIFS(Late_Transactions!E:E,A873,Late_Transactions!K:K,"Recorded"))</x:f>
      </x:c>
      <x:c r="F873" s="21" t="n">
        <x:f>IFERROR(MAXIFS(Late_Transactions!C:C,Late_Transactions!E:E,A873,Late_Transactions!K:K,"Recorded"),"")</x:f>
        <x:v>0</x:v>
      </x:c>
      <x:c r="G873" s="17" t="str">
        <x:f>IF(E873="","",IF(E873&gt;=5,"High",IF(E873&gt;=3,"Watch","OK")))</x:f>
      </x:c>
    </x:row>
    <x:row r="874">
      <x:c r="A874" s="17" t="str">
        <x:f>IF(Students!A874="","",Students!A874)</x:f>
      </x:c>
      <x:c r="B874" s="17" t="str">
        <x:f>IF(A874="","",Students!F874)</x:f>
      </x:c>
      <x:c r="C874" s="17" t="str">
        <x:f>IF(A874="","",Students!G874)</x:f>
      </x:c>
      <x:c r="D874" s="17" t="str">
        <x:f>IF(A874="","",Students!H874)</x:f>
      </x:c>
      <x:c r="E874" s="22" t="str">
        <x:f>IF(A874="","",COUNTIFS(Late_Transactions!E:E,A874,Late_Transactions!K:K,"Recorded"))</x:f>
      </x:c>
      <x:c r="F874" s="21" t="n">
        <x:f>IFERROR(MAXIFS(Late_Transactions!C:C,Late_Transactions!E:E,A874,Late_Transactions!K:K,"Recorded"),"")</x:f>
        <x:v>0</x:v>
      </x:c>
      <x:c r="G874" s="17" t="str">
        <x:f>IF(E874="","",IF(E874&gt;=5,"High",IF(E874&gt;=3,"Watch","OK")))</x:f>
      </x:c>
    </x:row>
    <x:row r="875">
      <x:c r="A875" s="17" t="str">
        <x:f>IF(Students!A875="","",Students!A875)</x:f>
      </x:c>
      <x:c r="B875" s="17" t="str">
        <x:f>IF(A875="","",Students!F875)</x:f>
      </x:c>
      <x:c r="C875" s="17" t="str">
        <x:f>IF(A875="","",Students!G875)</x:f>
      </x:c>
      <x:c r="D875" s="17" t="str">
        <x:f>IF(A875="","",Students!H875)</x:f>
      </x:c>
      <x:c r="E875" s="22" t="str">
        <x:f>IF(A875="","",COUNTIFS(Late_Transactions!E:E,A875,Late_Transactions!K:K,"Recorded"))</x:f>
      </x:c>
      <x:c r="F875" s="21" t="n">
        <x:f>IFERROR(MAXIFS(Late_Transactions!C:C,Late_Transactions!E:E,A875,Late_Transactions!K:K,"Recorded"),"")</x:f>
        <x:v>0</x:v>
      </x:c>
      <x:c r="G875" s="17" t="str">
        <x:f>IF(E875="","",IF(E875&gt;=5,"High",IF(E875&gt;=3,"Watch","OK")))</x:f>
      </x:c>
    </x:row>
    <x:row r="876">
      <x:c r="A876" s="17" t="str">
        <x:f>IF(Students!A876="","",Students!A876)</x:f>
      </x:c>
      <x:c r="B876" s="17" t="str">
        <x:f>IF(A876="","",Students!F876)</x:f>
      </x:c>
      <x:c r="C876" s="17" t="str">
        <x:f>IF(A876="","",Students!G876)</x:f>
      </x:c>
      <x:c r="D876" s="17" t="str">
        <x:f>IF(A876="","",Students!H876)</x:f>
      </x:c>
      <x:c r="E876" s="22" t="str">
        <x:f>IF(A876="","",COUNTIFS(Late_Transactions!E:E,A876,Late_Transactions!K:K,"Recorded"))</x:f>
      </x:c>
      <x:c r="F876" s="21" t="n">
        <x:f>IFERROR(MAXIFS(Late_Transactions!C:C,Late_Transactions!E:E,A876,Late_Transactions!K:K,"Recorded"),"")</x:f>
        <x:v>0</x:v>
      </x:c>
      <x:c r="G876" s="17" t="str">
        <x:f>IF(E876="","",IF(E876&gt;=5,"High",IF(E876&gt;=3,"Watch","OK")))</x:f>
      </x:c>
    </x:row>
    <x:row r="877">
      <x:c r="A877" s="17" t="str">
        <x:f>IF(Students!A877="","",Students!A877)</x:f>
      </x:c>
      <x:c r="B877" s="17" t="str">
        <x:f>IF(A877="","",Students!F877)</x:f>
      </x:c>
      <x:c r="C877" s="17" t="str">
        <x:f>IF(A877="","",Students!G877)</x:f>
      </x:c>
      <x:c r="D877" s="17" t="str">
        <x:f>IF(A877="","",Students!H877)</x:f>
      </x:c>
      <x:c r="E877" s="22" t="str">
        <x:f>IF(A877="","",COUNTIFS(Late_Transactions!E:E,A877,Late_Transactions!K:K,"Recorded"))</x:f>
      </x:c>
      <x:c r="F877" s="21" t="n">
        <x:f>IFERROR(MAXIFS(Late_Transactions!C:C,Late_Transactions!E:E,A877,Late_Transactions!K:K,"Recorded"),"")</x:f>
        <x:v>0</x:v>
      </x:c>
      <x:c r="G877" s="17" t="str">
        <x:f>IF(E877="","",IF(E877&gt;=5,"High",IF(E877&gt;=3,"Watch","OK")))</x:f>
      </x:c>
    </x:row>
    <x:row r="878">
      <x:c r="A878" s="17" t="str">
        <x:f>IF(Students!A878="","",Students!A878)</x:f>
      </x:c>
      <x:c r="B878" s="17" t="str">
        <x:f>IF(A878="","",Students!F878)</x:f>
      </x:c>
      <x:c r="C878" s="17" t="str">
        <x:f>IF(A878="","",Students!G878)</x:f>
      </x:c>
      <x:c r="D878" s="17" t="str">
        <x:f>IF(A878="","",Students!H878)</x:f>
      </x:c>
      <x:c r="E878" s="22" t="str">
        <x:f>IF(A878="","",COUNTIFS(Late_Transactions!E:E,A878,Late_Transactions!K:K,"Recorded"))</x:f>
      </x:c>
      <x:c r="F878" s="21" t="n">
        <x:f>IFERROR(MAXIFS(Late_Transactions!C:C,Late_Transactions!E:E,A878,Late_Transactions!K:K,"Recorded"),"")</x:f>
        <x:v>0</x:v>
      </x:c>
      <x:c r="G878" s="17" t="str">
        <x:f>IF(E878="","",IF(E878&gt;=5,"High",IF(E878&gt;=3,"Watch","OK")))</x:f>
      </x:c>
    </x:row>
    <x:row r="879">
      <x:c r="A879" s="17" t="str">
        <x:f>IF(Students!A879="","",Students!A879)</x:f>
      </x:c>
      <x:c r="B879" s="17" t="str">
        <x:f>IF(A879="","",Students!F879)</x:f>
      </x:c>
      <x:c r="C879" s="17" t="str">
        <x:f>IF(A879="","",Students!G879)</x:f>
      </x:c>
      <x:c r="D879" s="17" t="str">
        <x:f>IF(A879="","",Students!H879)</x:f>
      </x:c>
      <x:c r="E879" s="22" t="str">
        <x:f>IF(A879="","",COUNTIFS(Late_Transactions!E:E,A879,Late_Transactions!K:K,"Recorded"))</x:f>
      </x:c>
      <x:c r="F879" s="21" t="n">
        <x:f>IFERROR(MAXIFS(Late_Transactions!C:C,Late_Transactions!E:E,A879,Late_Transactions!K:K,"Recorded"),"")</x:f>
        <x:v>0</x:v>
      </x:c>
      <x:c r="G879" s="17" t="str">
        <x:f>IF(E879="","",IF(E879&gt;=5,"High",IF(E879&gt;=3,"Watch","OK")))</x:f>
      </x:c>
    </x:row>
    <x:row r="880">
      <x:c r="A880" s="17" t="str">
        <x:f>IF(Students!A880="","",Students!A880)</x:f>
      </x:c>
      <x:c r="B880" s="17" t="str">
        <x:f>IF(A880="","",Students!F880)</x:f>
      </x:c>
      <x:c r="C880" s="17" t="str">
        <x:f>IF(A880="","",Students!G880)</x:f>
      </x:c>
      <x:c r="D880" s="17" t="str">
        <x:f>IF(A880="","",Students!H880)</x:f>
      </x:c>
      <x:c r="E880" s="22" t="str">
        <x:f>IF(A880="","",COUNTIFS(Late_Transactions!E:E,A880,Late_Transactions!K:K,"Recorded"))</x:f>
      </x:c>
      <x:c r="F880" s="21" t="n">
        <x:f>IFERROR(MAXIFS(Late_Transactions!C:C,Late_Transactions!E:E,A880,Late_Transactions!K:K,"Recorded"),"")</x:f>
        <x:v>0</x:v>
      </x:c>
      <x:c r="G880" s="17" t="str">
        <x:f>IF(E880="","",IF(E880&gt;=5,"High",IF(E880&gt;=3,"Watch","OK")))</x:f>
      </x:c>
    </x:row>
    <x:row r="881">
      <x:c r="A881" s="17" t="str">
        <x:f>IF(Students!A881="","",Students!A881)</x:f>
      </x:c>
      <x:c r="B881" s="17" t="str">
        <x:f>IF(A881="","",Students!F881)</x:f>
      </x:c>
      <x:c r="C881" s="17" t="str">
        <x:f>IF(A881="","",Students!G881)</x:f>
      </x:c>
      <x:c r="D881" s="17" t="str">
        <x:f>IF(A881="","",Students!H881)</x:f>
      </x:c>
      <x:c r="E881" s="22" t="str">
        <x:f>IF(A881="","",COUNTIFS(Late_Transactions!E:E,A881,Late_Transactions!K:K,"Recorded"))</x:f>
      </x:c>
      <x:c r="F881" s="21" t="n">
        <x:f>IFERROR(MAXIFS(Late_Transactions!C:C,Late_Transactions!E:E,A881,Late_Transactions!K:K,"Recorded"),"")</x:f>
        <x:v>0</x:v>
      </x:c>
      <x:c r="G881" s="17" t="str">
        <x:f>IF(E881="","",IF(E881&gt;=5,"High",IF(E881&gt;=3,"Watch","OK")))</x:f>
      </x:c>
    </x:row>
    <x:row r="882">
      <x:c r="A882" s="17" t="str">
        <x:f>IF(Students!A882="","",Students!A882)</x:f>
      </x:c>
      <x:c r="B882" s="17" t="str">
        <x:f>IF(A882="","",Students!F882)</x:f>
      </x:c>
      <x:c r="C882" s="17" t="str">
        <x:f>IF(A882="","",Students!G882)</x:f>
      </x:c>
      <x:c r="D882" s="17" t="str">
        <x:f>IF(A882="","",Students!H882)</x:f>
      </x:c>
      <x:c r="E882" s="22" t="str">
        <x:f>IF(A882="","",COUNTIFS(Late_Transactions!E:E,A882,Late_Transactions!K:K,"Recorded"))</x:f>
      </x:c>
      <x:c r="F882" s="21" t="n">
        <x:f>IFERROR(MAXIFS(Late_Transactions!C:C,Late_Transactions!E:E,A882,Late_Transactions!K:K,"Recorded"),"")</x:f>
        <x:v>0</x:v>
      </x:c>
      <x:c r="G882" s="17" t="str">
        <x:f>IF(E882="","",IF(E882&gt;=5,"High",IF(E882&gt;=3,"Watch","OK")))</x:f>
      </x:c>
    </x:row>
    <x:row r="883">
      <x:c r="A883" s="17" t="str">
        <x:f>IF(Students!A883="","",Students!A883)</x:f>
      </x:c>
      <x:c r="B883" s="17" t="str">
        <x:f>IF(A883="","",Students!F883)</x:f>
      </x:c>
      <x:c r="C883" s="17" t="str">
        <x:f>IF(A883="","",Students!G883)</x:f>
      </x:c>
      <x:c r="D883" s="17" t="str">
        <x:f>IF(A883="","",Students!H883)</x:f>
      </x:c>
      <x:c r="E883" s="22" t="str">
        <x:f>IF(A883="","",COUNTIFS(Late_Transactions!E:E,A883,Late_Transactions!K:K,"Recorded"))</x:f>
      </x:c>
      <x:c r="F883" s="21" t="n">
        <x:f>IFERROR(MAXIFS(Late_Transactions!C:C,Late_Transactions!E:E,A883,Late_Transactions!K:K,"Recorded"),"")</x:f>
        <x:v>0</x:v>
      </x:c>
      <x:c r="G883" s="17" t="str">
        <x:f>IF(E883="","",IF(E883&gt;=5,"High",IF(E883&gt;=3,"Watch","OK")))</x:f>
      </x:c>
    </x:row>
    <x:row r="884">
      <x:c r="A884" s="17" t="str">
        <x:f>IF(Students!A884="","",Students!A884)</x:f>
      </x:c>
      <x:c r="B884" s="17" t="str">
        <x:f>IF(A884="","",Students!F884)</x:f>
      </x:c>
      <x:c r="C884" s="17" t="str">
        <x:f>IF(A884="","",Students!G884)</x:f>
      </x:c>
      <x:c r="D884" s="17" t="str">
        <x:f>IF(A884="","",Students!H884)</x:f>
      </x:c>
      <x:c r="E884" s="22" t="str">
        <x:f>IF(A884="","",COUNTIFS(Late_Transactions!E:E,A884,Late_Transactions!K:K,"Recorded"))</x:f>
      </x:c>
      <x:c r="F884" s="21" t="n">
        <x:f>IFERROR(MAXIFS(Late_Transactions!C:C,Late_Transactions!E:E,A884,Late_Transactions!K:K,"Recorded"),"")</x:f>
        <x:v>0</x:v>
      </x:c>
      <x:c r="G884" s="17" t="str">
        <x:f>IF(E884="","",IF(E884&gt;=5,"High",IF(E884&gt;=3,"Watch","OK")))</x:f>
      </x:c>
    </x:row>
    <x:row r="885">
      <x:c r="A885" s="17" t="str">
        <x:f>IF(Students!A885="","",Students!A885)</x:f>
      </x:c>
      <x:c r="B885" s="17" t="str">
        <x:f>IF(A885="","",Students!F885)</x:f>
      </x:c>
      <x:c r="C885" s="17" t="str">
        <x:f>IF(A885="","",Students!G885)</x:f>
      </x:c>
      <x:c r="D885" s="17" t="str">
        <x:f>IF(A885="","",Students!H885)</x:f>
      </x:c>
      <x:c r="E885" s="22" t="str">
        <x:f>IF(A885="","",COUNTIFS(Late_Transactions!E:E,A885,Late_Transactions!K:K,"Recorded"))</x:f>
      </x:c>
      <x:c r="F885" s="21" t="n">
        <x:f>IFERROR(MAXIFS(Late_Transactions!C:C,Late_Transactions!E:E,A885,Late_Transactions!K:K,"Recorded"),"")</x:f>
        <x:v>0</x:v>
      </x:c>
      <x:c r="G885" s="17" t="str">
        <x:f>IF(E885="","",IF(E885&gt;=5,"High",IF(E885&gt;=3,"Watch","OK")))</x:f>
      </x:c>
    </x:row>
    <x:row r="886">
      <x:c r="A886" s="17" t="str">
        <x:f>IF(Students!A886="","",Students!A886)</x:f>
      </x:c>
      <x:c r="B886" s="17" t="str">
        <x:f>IF(A886="","",Students!F886)</x:f>
      </x:c>
      <x:c r="C886" s="17" t="str">
        <x:f>IF(A886="","",Students!G886)</x:f>
      </x:c>
      <x:c r="D886" s="17" t="str">
        <x:f>IF(A886="","",Students!H886)</x:f>
      </x:c>
      <x:c r="E886" s="22" t="str">
        <x:f>IF(A886="","",COUNTIFS(Late_Transactions!E:E,A886,Late_Transactions!K:K,"Recorded"))</x:f>
      </x:c>
      <x:c r="F886" s="21" t="n">
        <x:f>IFERROR(MAXIFS(Late_Transactions!C:C,Late_Transactions!E:E,A886,Late_Transactions!K:K,"Recorded"),"")</x:f>
        <x:v>0</x:v>
      </x:c>
      <x:c r="G886" s="17" t="str">
        <x:f>IF(E886="","",IF(E886&gt;=5,"High",IF(E886&gt;=3,"Watch","OK")))</x:f>
      </x:c>
    </x:row>
    <x:row r="887">
      <x:c r="A887" s="17" t="str">
        <x:f>IF(Students!A887="","",Students!A887)</x:f>
      </x:c>
      <x:c r="B887" s="17" t="str">
        <x:f>IF(A887="","",Students!F887)</x:f>
      </x:c>
      <x:c r="C887" s="17" t="str">
        <x:f>IF(A887="","",Students!G887)</x:f>
      </x:c>
      <x:c r="D887" s="17" t="str">
        <x:f>IF(A887="","",Students!H887)</x:f>
      </x:c>
      <x:c r="E887" s="22" t="str">
        <x:f>IF(A887="","",COUNTIFS(Late_Transactions!E:E,A887,Late_Transactions!K:K,"Recorded"))</x:f>
      </x:c>
      <x:c r="F887" s="21" t="n">
        <x:f>IFERROR(MAXIFS(Late_Transactions!C:C,Late_Transactions!E:E,A887,Late_Transactions!K:K,"Recorded"),"")</x:f>
        <x:v>0</x:v>
      </x:c>
      <x:c r="G887" s="17" t="str">
        <x:f>IF(E887="","",IF(E887&gt;=5,"High",IF(E887&gt;=3,"Watch","OK")))</x:f>
      </x:c>
    </x:row>
    <x:row r="888">
      <x:c r="A888" s="17" t="str">
        <x:f>IF(Students!A888="","",Students!A888)</x:f>
      </x:c>
      <x:c r="B888" s="17" t="str">
        <x:f>IF(A888="","",Students!F888)</x:f>
      </x:c>
      <x:c r="C888" s="17" t="str">
        <x:f>IF(A888="","",Students!G888)</x:f>
      </x:c>
      <x:c r="D888" s="17" t="str">
        <x:f>IF(A888="","",Students!H888)</x:f>
      </x:c>
      <x:c r="E888" s="22" t="str">
        <x:f>IF(A888="","",COUNTIFS(Late_Transactions!E:E,A888,Late_Transactions!K:K,"Recorded"))</x:f>
      </x:c>
      <x:c r="F888" s="21" t="n">
        <x:f>IFERROR(MAXIFS(Late_Transactions!C:C,Late_Transactions!E:E,A888,Late_Transactions!K:K,"Recorded"),"")</x:f>
        <x:v>0</x:v>
      </x:c>
      <x:c r="G888" s="17" t="str">
        <x:f>IF(E888="","",IF(E888&gt;=5,"High",IF(E888&gt;=3,"Watch","OK")))</x:f>
      </x:c>
    </x:row>
    <x:row r="889">
      <x:c r="A889" s="17" t="str">
        <x:f>IF(Students!A889="","",Students!A889)</x:f>
      </x:c>
      <x:c r="B889" s="17" t="str">
        <x:f>IF(A889="","",Students!F889)</x:f>
      </x:c>
      <x:c r="C889" s="17" t="str">
        <x:f>IF(A889="","",Students!G889)</x:f>
      </x:c>
      <x:c r="D889" s="17" t="str">
        <x:f>IF(A889="","",Students!H889)</x:f>
      </x:c>
      <x:c r="E889" s="22" t="str">
        <x:f>IF(A889="","",COUNTIFS(Late_Transactions!E:E,A889,Late_Transactions!K:K,"Recorded"))</x:f>
      </x:c>
      <x:c r="F889" s="21" t="n">
        <x:f>IFERROR(MAXIFS(Late_Transactions!C:C,Late_Transactions!E:E,A889,Late_Transactions!K:K,"Recorded"),"")</x:f>
        <x:v>0</x:v>
      </x:c>
      <x:c r="G889" s="17" t="str">
        <x:f>IF(E889="","",IF(E889&gt;=5,"High",IF(E889&gt;=3,"Watch","OK")))</x:f>
      </x:c>
    </x:row>
    <x:row r="890">
      <x:c r="A890" s="17" t="str">
        <x:f>IF(Students!A890="","",Students!A890)</x:f>
      </x:c>
      <x:c r="B890" s="17" t="str">
        <x:f>IF(A890="","",Students!F890)</x:f>
      </x:c>
      <x:c r="C890" s="17" t="str">
        <x:f>IF(A890="","",Students!G890)</x:f>
      </x:c>
      <x:c r="D890" s="17" t="str">
        <x:f>IF(A890="","",Students!H890)</x:f>
      </x:c>
      <x:c r="E890" s="22" t="str">
        <x:f>IF(A890="","",COUNTIFS(Late_Transactions!E:E,A890,Late_Transactions!K:K,"Recorded"))</x:f>
      </x:c>
      <x:c r="F890" s="21" t="n">
        <x:f>IFERROR(MAXIFS(Late_Transactions!C:C,Late_Transactions!E:E,A890,Late_Transactions!K:K,"Recorded"),"")</x:f>
        <x:v>0</x:v>
      </x:c>
      <x:c r="G890" s="17" t="str">
        <x:f>IF(E890="","",IF(E890&gt;=5,"High",IF(E890&gt;=3,"Watch","OK")))</x:f>
      </x:c>
    </x:row>
    <x:row r="891">
      <x:c r="A891" s="17" t="str">
        <x:f>IF(Students!A891="","",Students!A891)</x:f>
      </x:c>
      <x:c r="B891" s="17" t="str">
        <x:f>IF(A891="","",Students!F891)</x:f>
      </x:c>
      <x:c r="C891" s="17" t="str">
        <x:f>IF(A891="","",Students!G891)</x:f>
      </x:c>
      <x:c r="D891" s="17" t="str">
        <x:f>IF(A891="","",Students!H891)</x:f>
      </x:c>
      <x:c r="E891" s="22" t="str">
        <x:f>IF(A891="","",COUNTIFS(Late_Transactions!E:E,A891,Late_Transactions!K:K,"Recorded"))</x:f>
      </x:c>
      <x:c r="F891" s="21" t="n">
        <x:f>IFERROR(MAXIFS(Late_Transactions!C:C,Late_Transactions!E:E,A891,Late_Transactions!K:K,"Recorded"),"")</x:f>
        <x:v>0</x:v>
      </x:c>
      <x:c r="G891" s="17" t="str">
        <x:f>IF(E891="","",IF(E891&gt;=5,"High",IF(E891&gt;=3,"Watch","OK")))</x:f>
      </x:c>
    </x:row>
    <x:row r="892">
      <x:c r="A892" s="17" t="str">
        <x:f>IF(Students!A892="","",Students!A892)</x:f>
      </x:c>
      <x:c r="B892" s="17" t="str">
        <x:f>IF(A892="","",Students!F892)</x:f>
      </x:c>
      <x:c r="C892" s="17" t="str">
        <x:f>IF(A892="","",Students!G892)</x:f>
      </x:c>
      <x:c r="D892" s="17" t="str">
        <x:f>IF(A892="","",Students!H892)</x:f>
      </x:c>
      <x:c r="E892" s="22" t="str">
        <x:f>IF(A892="","",COUNTIFS(Late_Transactions!E:E,A892,Late_Transactions!K:K,"Recorded"))</x:f>
      </x:c>
      <x:c r="F892" s="21" t="n">
        <x:f>IFERROR(MAXIFS(Late_Transactions!C:C,Late_Transactions!E:E,A892,Late_Transactions!K:K,"Recorded"),"")</x:f>
        <x:v>0</x:v>
      </x:c>
      <x:c r="G892" s="17" t="str">
        <x:f>IF(E892="","",IF(E892&gt;=5,"High",IF(E892&gt;=3,"Watch","OK")))</x:f>
      </x:c>
    </x:row>
    <x:row r="893">
      <x:c r="A893" s="17" t="str">
        <x:f>IF(Students!A893="","",Students!A893)</x:f>
      </x:c>
      <x:c r="B893" s="17" t="str">
        <x:f>IF(A893="","",Students!F893)</x:f>
      </x:c>
      <x:c r="C893" s="17" t="str">
        <x:f>IF(A893="","",Students!G893)</x:f>
      </x:c>
      <x:c r="D893" s="17" t="str">
        <x:f>IF(A893="","",Students!H893)</x:f>
      </x:c>
      <x:c r="E893" s="22" t="str">
        <x:f>IF(A893="","",COUNTIFS(Late_Transactions!E:E,A893,Late_Transactions!K:K,"Recorded"))</x:f>
      </x:c>
      <x:c r="F893" s="21" t="n">
        <x:f>IFERROR(MAXIFS(Late_Transactions!C:C,Late_Transactions!E:E,A893,Late_Transactions!K:K,"Recorded"),"")</x:f>
        <x:v>0</x:v>
      </x:c>
      <x:c r="G893" s="17" t="str">
        <x:f>IF(E893="","",IF(E893&gt;=5,"High",IF(E893&gt;=3,"Watch","OK")))</x:f>
      </x:c>
    </x:row>
    <x:row r="894">
      <x:c r="A894" s="17" t="str">
        <x:f>IF(Students!A894="","",Students!A894)</x:f>
      </x:c>
      <x:c r="B894" s="17" t="str">
        <x:f>IF(A894="","",Students!F894)</x:f>
      </x:c>
      <x:c r="C894" s="17" t="str">
        <x:f>IF(A894="","",Students!G894)</x:f>
      </x:c>
      <x:c r="D894" s="17" t="str">
        <x:f>IF(A894="","",Students!H894)</x:f>
      </x:c>
      <x:c r="E894" s="22" t="str">
        <x:f>IF(A894="","",COUNTIFS(Late_Transactions!E:E,A894,Late_Transactions!K:K,"Recorded"))</x:f>
      </x:c>
      <x:c r="F894" s="21" t="n">
        <x:f>IFERROR(MAXIFS(Late_Transactions!C:C,Late_Transactions!E:E,A894,Late_Transactions!K:K,"Recorded"),"")</x:f>
        <x:v>0</x:v>
      </x:c>
      <x:c r="G894" s="17" t="str">
        <x:f>IF(E894="","",IF(E894&gt;=5,"High",IF(E894&gt;=3,"Watch","OK")))</x:f>
      </x:c>
    </x:row>
    <x:row r="895">
      <x:c r="A895" s="17" t="str">
        <x:f>IF(Students!A895="","",Students!A895)</x:f>
      </x:c>
      <x:c r="B895" s="17" t="str">
        <x:f>IF(A895="","",Students!F895)</x:f>
      </x:c>
      <x:c r="C895" s="17" t="str">
        <x:f>IF(A895="","",Students!G895)</x:f>
      </x:c>
      <x:c r="D895" s="17" t="str">
        <x:f>IF(A895="","",Students!H895)</x:f>
      </x:c>
      <x:c r="E895" s="22" t="str">
        <x:f>IF(A895="","",COUNTIFS(Late_Transactions!E:E,A895,Late_Transactions!K:K,"Recorded"))</x:f>
      </x:c>
      <x:c r="F895" s="21" t="n">
        <x:f>IFERROR(MAXIFS(Late_Transactions!C:C,Late_Transactions!E:E,A895,Late_Transactions!K:K,"Recorded"),"")</x:f>
        <x:v>0</x:v>
      </x:c>
      <x:c r="G895" s="17" t="str">
        <x:f>IF(E895="","",IF(E895&gt;=5,"High",IF(E895&gt;=3,"Watch","OK")))</x:f>
      </x:c>
    </x:row>
    <x:row r="896">
      <x:c r="A896" s="17" t="str">
        <x:f>IF(Students!A896="","",Students!A896)</x:f>
      </x:c>
      <x:c r="B896" s="17" t="str">
        <x:f>IF(A896="","",Students!F896)</x:f>
      </x:c>
      <x:c r="C896" s="17" t="str">
        <x:f>IF(A896="","",Students!G896)</x:f>
      </x:c>
      <x:c r="D896" s="17" t="str">
        <x:f>IF(A896="","",Students!H896)</x:f>
      </x:c>
      <x:c r="E896" s="22" t="str">
        <x:f>IF(A896="","",COUNTIFS(Late_Transactions!E:E,A896,Late_Transactions!K:K,"Recorded"))</x:f>
      </x:c>
      <x:c r="F896" s="21" t="n">
        <x:f>IFERROR(MAXIFS(Late_Transactions!C:C,Late_Transactions!E:E,A896,Late_Transactions!K:K,"Recorded"),"")</x:f>
        <x:v>0</x:v>
      </x:c>
      <x:c r="G896" s="17" t="str">
        <x:f>IF(E896="","",IF(E896&gt;=5,"High",IF(E896&gt;=3,"Watch","OK")))</x:f>
      </x:c>
    </x:row>
    <x:row r="897">
      <x:c r="A897" s="17" t="str">
        <x:f>IF(Students!A897="","",Students!A897)</x:f>
      </x:c>
      <x:c r="B897" s="17" t="str">
        <x:f>IF(A897="","",Students!F897)</x:f>
      </x:c>
      <x:c r="C897" s="17" t="str">
        <x:f>IF(A897="","",Students!G897)</x:f>
      </x:c>
      <x:c r="D897" s="17" t="str">
        <x:f>IF(A897="","",Students!H897)</x:f>
      </x:c>
      <x:c r="E897" s="22" t="str">
        <x:f>IF(A897="","",COUNTIFS(Late_Transactions!E:E,A897,Late_Transactions!K:K,"Recorded"))</x:f>
      </x:c>
      <x:c r="F897" s="21" t="n">
        <x:f>IFERROR(MAXIFS(Late_Transactions!C:C,Late_Transactions!E:E,A897,Late_Transactions!K:K,"Recorded"),"")</x:f>
        <x:v>0</x:v>
      </x:c>
      <x:c r="G897" s="17" t="str">
        <x:f>IF(E897="","",IF(E897&gt;=5,"High",IF(E897&gt;=3,"Watch","OK")))</x:f>
      </x:c>
    </x:row>
    <x:row r="898">
      <x:c r="A898" s="17" t="str">
        <x:f>IF(Students!A898="","",Students!A898)</x:f>
      </x:c>
      <x:c r="B898" s="17" t="str">
        <x:f>IF(A898="","",Students!F898)</x:f>
      </x:c>
      <x:c r="C898" s="17" t="str">
        <x:f>IF(A898="","",Students!G898)</x:f>
      </x:c>
      <x:c r="D898" s="17" t="str">
        <x:f>IF(A898="","",Students!H898)</x:f>
      </x:c>
      <x:c r="E898" s="22" t="str">
        <x:f>IF(A898="","",COUNTIFS(Late_Transactions!E:E,A898,Late_Transactions!K:K,"Recorded"))</x:f>
      </x:c>
      <x:c r="F898" s="21" t="n">
        <x:f>IFERROR(MAXIFS(Late_Transactions!C:C,Late_Transactions!E:E,A898,Late_Transactions!K:K,"Recorded"),"")</x:f>
        <x:v>0</x:v>
      </x:c>
      <x:c r="G898" s="17" t="str">
        <x:f>IF(E898="","",IF(E898&gt;=5,"High",IF(E898&gt;=3,"Watch","OK")))</x:f>
      </x:c>
    </x:row>
    <x:row r="899">
      <x:c r="A899" s="17" t="str">
        <x:f>IF(Students!A899="","",Students!A899)</x:f>
      </x:c>
      <x:c r="B899" s="17" t="str">
        <x:f>IF(A899="","",Students!F899)</x:f>
      </x:c>
      <x:c r="C899" s="17" t="str">
        <x:f>IF(A899="","",Students!G899)</x:f>
      </x:c>
      <x:c r="D899" s="17" t="str">
        <x:f>IF(A899="","",Students!H899)</x:f>
      </x:c>
      <x:c r="E899" s="22" t="str">
        <x:f>IF(A899="","",COUNTIFS(Late_Transactions!E:E,A899,Late_Transactions!K:K,"Recorded"))</x:f>
      </x:c>
      <x:c r="F899" s="21" t="n">
        <x:f>IFERROR(MAXIFS(Late_Transactions!C:C,Late_Transactions!E:E,A899,Late_Transactions!K:K,"Recorded"),"")</x:f>
        <x:v>0</x:v>
      </x:c>
      <x:c r="G899" s="17" t="str">
        <x:f>IF(E899="","",IF(E899&gt;=5,"High",IF(E899&gt;=3,"Watch","OK")))</x:f>
      </x:c>
    </x:row>
    <x:row r="900">
      <x:c r="A900" s="17" t="str">
        <x:f>IF(Students!A900="","",Students!A900)</x:f>
      </x:c>
      <x:c r="B900" s="17" t="str">
        <x:f>IF(A900="","",Students!F900)</x:f>
      </x:c>
      <x:c r="C900" s="17" t="str">
        <x:f>IF(A900="","",Students!G900)</x:f>
      </x:c>
      <x:c r="D900" s="17" t="str">
        <x:f>IF(A900="","",Students!H900)</x:f>
      </x:c>
      <x:c r="E900" s="22" t="str">
        <x:f>IF(A900="","",COUNTIFS(Late_Transactions!E:E,A900,Late_Transactions!K:K,"Recorded"))</x:f>
      </x:c>
      <x:c r="F900" s="21" t="n">
        <x:f>IFERROR(MAXIFS(Late_Transactions!C:C,Late_Transactions!E:E,A900,Late_Transactions!K:K,"Recorded"),"")</x:f>
        <x:v>0</x:v>
      </x:c>
      <x:c r="G900" s="17" t="str">
        <x:f>IF(E900="","",IF(E900&gt;=5,"High",IF(E900&gt;=3,"Watch","OK")))</x:f>
      </x:c>
    </x:row>
    <x:row r="901">
      <x:c r="A901" s="17" t="str">
        <x:f>IF(Students!A901="","",Students!A901)</x:f>
      </x:c>
      <x:c r="B901" s="17" t="str">
        <x:f>IF(A901="","",Students!F901)</x:f>
      </x:c>
      <x:c r="C901" s="17" t="str">
        <x:f>IF(A901="","",Students!G901)</x:f>
      </x:c>
      <x:c r="D901" s="17" t="str">
        <x:f>IF(A901="","",Students!H901)</x:f>
      </x:c>
      <x:c r="E901" s="22" t="str">
        <x:f>IF(A901="","",COUNTIFS(Late_Transactions!E:E,A901,Late_Transactions!K:K,"Recorded"))</x:f>
      </x:c>
      <x:c r="F901" s="21" t="n">
        <x:f>IFERROR(MAXIFS(Late_Transactions!C:C,Late_Transactions!E:E,A901,Late_Transactions!K:K,"Recorded"),"")</x:f>
        <x:v>0</x:v>
      </x:c>
      <x:c r="G901" s="17" t="str">
        <x:f>IF(E901="","",IF(E901&gt;=5,"High",IF(E901&gt;=3,"Watch","OK")))</x:f>
      </x:c>
    </x:row>
    <x:row r="902">
      <x:c r="A902" s="17" t="str">
        <x:f>IF(Students!A902="","",Students!A902)</x:f>
      </x:c>
      <x:c r="B902" s="17" t="str">
        <x:f>IF(A902="","",Students!F902)</x:f>
      </x:c>
      <x:c r="C902" s="17" t="str">
        <x:f>IF(A902="","",Students!G902)</x:f>
      </x:c>
      <x:c r="D902" s="17" t="str">
        <x:f>IF(A902="","",Students!H902)</x:f>
      </x:c>
      <x:c r="E902" s="22" t="str">
        <x:f>IF(A902="","",COUNTIFS(Late_Transactions!E:E,A902,Late_Transactions!K:K,"Recorded"))</x:f>
      </x:c>
      <x:c r="F902" s="21" t="n">
        <x:f>IFERROR(MAXIFS(Late_Transactions!C:C,Late_Transactions!E:E,A902,Late_Transactions!K:K,"Recorded"),"")</x:f>
        <x:v>0</x:v>
      </x:c>
      <x:c r="G902" s="17" t="str">
        <x:f>IF(E902="","",IF(E902&gt;=5,"High",IF(E902&gt;=3,"Watch","OK")))</x:f>
      </x:c>
    </x:row>
    <x:row r="903">
      <x:c r="A903" s="17" t="str">
        <x:f>IF(Students!A903="","",Students!A903)</x:f>
      </x:c>
      <x:c r="B903" s="17" t="str">
        <x:f>IF(A903="","",Students!F903)</x:f>
      </x:c>
      <x:c r="C903" s="17" t="str">
        <x:f>IF(A903="","",Students!G903)</x:f>
      </x:c>
      <x:c r="D903" s="17" t="str">
        <x:f>IF(A903="","",Students!H903)</x:f>
      </x:c>
      <x:c r="E903" s="22" t="str">
        <x:f>IF(A903="","",COUNTIFS(Late_Transactions!E:E,A903,Late_Transactions!K:K,"Recorded"))</x:f>
      </x:c>
      <x:c r="F903" s="21" t="n">
        <x:f>IFERROR(MAXIFS(Late_Transactions!C:C,Late_Transactions!E:E,A903,Late_Transactions!K:K,"Recorded"),"")</x:f>
        <x:v>0</x:v>
      </x:c>
      <x:c r="G903" s="17" t="str">
        <x:f>IF(E903="","",IF(E903&gt;=5,"High",IF(E903&gt;=3,"Watch","OK")))</x:f>
      </x:c>
    </x:row>
    <x:row r="904">
      <x:c r="A904" s="17" t="str">
        <x:f>IF(Students!A904="","",Students!A904)</x:f>
      </x:c>
      <x:c r="B904" s="17" t="str">
        <x:f>IF(A904="","",Students!F904)</x:f>
      </x:c>
      <x:c r="C904" s="17" t="str">
        <x:f>IF(A904="","",Students!G904)</x:f>
      </x:c>
      <x:c r="D904" s="17" t="str">
        <x:f>IF(A904="","",Students!H904)</x:f>
      </x:c>
      <x:c r="E904" s="22" t="str">
        <x:f>IF(A904="","",COUNTIFS(Late_Transactions!E:E,A904,Late_Transactions!K:K,"Recorded"))</x:f>
      </x:c>
      <x:c r="F904" s="21" t="n">
        <x:f>IFERROR(MAXIFS(Late_Transactions!C:C,Late_Transactions!E:E,A904,Late_Transactions!K:K,"Recorded"),"")</x:f>
        <x:v>0</x:v>
      </x:c>
      <x:c r="G904" s="17" t="str">
        <x:f>IF(E904="","",IF(E904&gt;=5,"High",IF(E904&gt;=3,"Watch","OK")))</x:f>
      </x:c>
    </x:row>
    <x:row r="905">
      <x:c r="A905" s="17" t="str">
        <x:f>IF(Students!A905="","",Students!A905)</x:f>
      </x:c>
      <x:c r="B905" s="17" t="str">
        <x:f>IF(A905="","",Students!F905)</x:f>
      </x:c>
      <x:c r="C905" s="17" t="str">
        <x:f>IF(A905="","",Students!G905)</x:f>
      </x:c>
      <x:c r="D905" s="17" t="str">
        <x:f>IF(A905="","",Students!H905)</x:f>
      </x:c>
      <x:c r="E905" s="22" t="str">
        <x:f>IF(A905="","",COUNTIFS(Late_Transactions!E:E,A905,Late_Transactions!K:K,"Recorded"))</x:f>
      </x:c>
      <x:c r="F905" s="21" t="n">
        <x:f>IFERROR(MAXIFS(Late_Transactions!C:C,Late_Transactions!E:E,A905,Late_Transactions!K:K,"Recorded"),"")</x:f>
        <x:v>0</x:v>
      </x:c>
      <x:c r="G905" s="17" t="str">
        <x:f>IF(E905="","",IF(E905&gt;=5,"High",IF(E905&gt;=3,"Watch","OK")))</x:f>
      </x:c>
    </x:row>
    <x:row r="906">
      <x:c r="A906" s="17" t="str">
        <x:f>IF(Students!A906="","",Students!A906)</x:f>
      </x:c>
      <x:c r="B906" s="17" t="str">
        <x:f>IF(A906="","",Students!F906)</x:f>
      </x:c>
      <x:c r="C906" s="17" t="str">
        <x:f>IF(A906="","",Students!G906)</x:f>
      </x:c>
      <x:c r="D906" s="17" t="str">
        <x:f>IF(A906="","",Students!H906)</x:f>
      </x:c>
      <x:c r="E906" s="22" t="str">
        <x:f>IF(A906="","",COUNTIFS(Late_Transactions!E:E,A906,Late_Transactions!K:K,"Recorded"))</x:f>
      </x:c>
      <x:c r="F906" s="21" t="n">
        <x:f>IFERROR(MAXIFS(Late_Transactions!C:C,Late_Transactions!E:E,A906,Late_Transactions!K:K,"Recorded"),"")</x:f>
        <x:v>0</x:v>
      </x:c>
      <x:c r="G906" s="17" t="str">
        <x:f>IF(E906="","",IF(E906&gt;=5,"High",IF(E906&gt;=3,"Watch","OK")))</x:f>
      </x:c>
    </x:row>
    <x:row r="907">
      <x:c r="A907" s="17" t="str">
        <x:f>IF(Students!A907="","",Students!A907)</x:f>
      </x:c>
      <x:c r="B907" s="17" t="str">
        <x:f>IF(A907="","",Students!F907)</x:f>
      </x:c>
      <x:c r="C907" s="17" t="str">
        <x:f>IF(A907="","",Students!G907)</x:f>
      </x:c>
      <x:c r="D907" s="17" t="str">
        <x:f>IF(A907="","",Students!H907)</x:f>
      </x:c>
      <x:c r="E907" s="22" t="str">
        <x:f>IF(A907="","",COUNTIFS(Late_Transactions!E:E,A907,Late_Transactions!K:K,"Recorded"))</x:f>
      </x:c>
      <x:c r="F907" s="21" t="n">
        <x:f>IFERROR(MAXIFS(Late_Transactions!C:C,Late_Transactions!E:E,A907,Late_Transactions!K:K,"Recorded"),"")</x:f>
        <x:v>0</x:v>
      </x:c>
      <x:c r="G907" s="17" t="str">
        <x:f>IF(E907="","",IF(E907&gt;=5,"High",IF(E907&gt;=3,"Watch","OK")))</x:f>
      </x:c>
    </x:row>
    <x:row r="908">
      <x:c r="A908" s="17" t="str">
        <x:f>IF(Students!A908="","",Students!A908)</x:f>
      </x:c>
      <x:c r="B908" s="17" t="str">
        <x:f>IF(A908="","",Students!F908)</x:f>
      </x:c>
      <x:c r="C908" s="17" t="str">
        <x:f>IF(A908="","",Students!G908)</x:f>
      </x:c>
      <x:c r="D908" s="17" t="str">
        <x:f>IF(A908="","",Students!H908)</x:f>
      </x:c>
      <x:c r="E908" s="22" t="str">
        <x:f>IF(A908="","",COUNTIFS(Late_Transactions!E:E,A908,Late_Transactions!K:K,"Recorded"))</x:f>
      </x:c>
      <x:c r="F908" s="21" t="n">
        <x:f>IFERROR(MAXIFS(Late_Transactions!C:C,Late_Transactions!E:E,A908,Late_Transactions!K:K,"Recorded"),"")</x:f>
        <x:v>0</x:v>
      </x:c>
      <x:c r="G908" s="17" t="str">
        <x:f>IF(E908="","",IF(E908&gt;=5,"High",IF(E908&gt;=3,"Watch","OK")))</x:f>
      </x:c>
    </x:row>
    <x:row r="909">
      <x:c r="A909" s="17" t="str">
        <x:f>IF(Students!A909="","",Students!A909)</x:f>
      </x:c>
      <x:c r="B909" s="17" t="str">
        <x:f>IF(A909="","",Students!F909)</x:f>
      </x:c>
      <x:c r="C909" s="17" t="str">
        <x:f>IF(A909="","",Students!G909)</x:f>
      </x:c>
      <x:c r="D909" s="17" t="str">
        <x:f>IF(A909="","",Students!H909)</x:f>
      </x:c>
      <x:c r="E909" s="22" t="str">
        <x:f>IF(A909="","",COUNTIFS(Late_Transactions!E:E,A909,Late_Transactions!K:K,"Recorded"))</x:f>
      </x:c>
      <x:c r="F909" s="21" t="n">
        <x:f>IFERROR(MAXIFS(Late_Transactions!C:C,Late_Transactions!E:E,A909,Late_Transactions!K:K,"Recorded"),"")</x:f>
        <x:v>0</x:v>
      </x:c>
      <x:c r="G909" s="17" t="str">
        <x:f>IF(E909="","",IF(E909&gt;=5,"High",IF(E909&gt;=3,"Watch","OK")))</x:f>
      </x:c>
    </x:row>
    <x:row r="910">
      <x:c r="A910" s="17" t="str">
        <x:f>IF(Students!A910="","",Students!A910)</x:f>
      </x:c>
      <x:c r="B910" s="17" t="str">
        <x:f>IF(A910="","",Students!F910)</x:f>
      </x:c>
      <x:c r="C910" s="17" t="str">
        <x:f>IF(A910="","",Students!G910)</x:f>
      </x:c>
      <x:c r="D910" s="17" t="str">
        <x:f>IF(A910="","",Students!H910)</x:f>
      </x:c>
      <x:c r="E910" s="22" t="str">
        <x:f>IF(A910="","",COUNTIFS(Late_Transactions!E:E,A910,Late_Transactions!K:K,"Recorded"))</x:f>
      </x:c>
      <x:c r="F910" s="21" t="n">
        <x:f>IFERROR(MAXIFS(Late_Transactions!C:C,Late_Transactions!E:E,A910,Late_Transactions!K:K,"Recorded"),"")</x:f>
        <x:v>0</x:v>
      </x:c>
      <x:c r="G910" s="17" t="str">
        <x:f>IF(E910="","",IF(E910&gt;=5,"High",IF(E910&gt;=3,"Watch","OK")))</x:f>
      </x:c>
    </x:row>
    <x:row r="911">
      <x:c r="A911" s="17" t="str">
        <x:f>IF(Students!A911="","",Students!A911)</x:f>
      </x:c>
      <x:c r="B911" s="17" t="str">
        <x:f>IF(A911="","",Students!F911)</x:f>
      </x:c>
      <x:c r="C911" s="17" t="str">
        <x:f>IF(A911="","",Students!G911)</x:f>
      </x:c>
      <x:c r="D911" s="17" t="str">
        <x:f>IF(A911="","",Students!H911)</x:f>
      </x:c>
      <x:c r="E911" s="22" t="str">
        <x:f>IF(A911="","",COUNTIFS(Late_Transactions!E:E,A911,Late_Transactions!K:K,"Recorded"))</x:f>
      </x:c>
      <x:c r="F911" s="21" t="n">
        <x:f>IFERROR(MAXIFS(Late_Transactions!C:C,Late_Transactions!E:E,A911,Late_Transactions!K:K,"Recorded"),"")</x:f>
        <x:v>0</x:v>
      </x:c>
      <x:c r="G911" s="17" t="str">
        <x:f>IF(E911="","",IF(E911&gt;=5,"High",IF(E911&gt;=3,"Watch","OK")))</x:f>
      </x:c>
    </x:row>
    <x:row r="912">
      <x:c r="A912" s="17" t="str">
        <x:f>IF(Students!A912="","",Students!A912)</x:f>
      </x:c>
      <x:c r="B912" s="17" t="str">
        <x:f>IF(A912="","",Students!F912)</x:f>
      </x:c>
      <x:c r="C912" s="17" t="str">
        <x:f>IF(A912="","",Students!G912)</x:f>
      </x:c>
      <x:c r="D912" s="17" t="str">
        <x:f>IF(A912="","",Students!H912)</x:f>
      </x:c>
      <x:c r="E912" s="22" t="str">
        <x:f>IF(A912="","",COUNTIFS(Late_Transactions!E:E,A912,Late_Transactions!K:K,"Recorded"))</x:f>
      </x:c>
      <x:c r="F912" s="21" t="n">
        <x:f>IFERROR(MAXIFS(Late_Transactions!C:C,Late_Transactions!E:E,A912,Late_Transactions!K:K,"Recorded"),"")</x:f>
        <x:v>0</x:v>
      </x:c>
      <x:c r="G912" s="17" t="str">
        <x:f>IF(E912="","",IF(E912&gt;=5,"High",IF(E912&gt;=3,"Watch","OK")))</x:f>
      </x:c>
    </x:row>
    <x:row r="913">
      <x:c r="A913" s="17" t="str">
        <x:f>IF(Students!A913="","",Students!A913)</x:f>
      </x:c>
      <x:c r="B913" s="17" t="str">
        <x:f>IF(A913="","",Students!F913)</x:f>
      </x:c>
      <x:c r="C913" s="17" t="str">
        <x:f>IF(A913="","",Students!G913)</x:f>
      </x:c>
      <x:c r="D913" s="17" t="str">
        <x:f>IF(A913="","",Students!H913)</x:f>
      </x:c>
      <x:c r="E913" s="22" t="str">
        <x:f>IF(A913="","",COUNTIFS(Late_Transactions!E:E,A913,Late_Transactions!K:K,"Recorded"))</x:f>
      </x:c>
      <x:c r="F913" s="21" t="n">
        <x:f>IFERROR(MAXIFS(Late_Transactions!C:C,Late_Transactions!E:E,A913,Late_Transactions!K:K,"Recorded"),"")</x:f>
        <x:v>0</x:v>
      </x:c>
      <x:c r="G913" s="17" t="str">
        <x:f>IF(E913="","",IF(E913&gt;=5,"High",IF(E913&gt;=3,"Watch","OK")))</x:f>
      </x:c>
    </x:row>
    <x:row r="914">
      <x:c r="A914" s="17" t="str">
        <x:f>IF(Students!A914="","",Students!A914)</x:f>
      </x:c>
      <x:c r="B914" s="17" t="str">
        <x:f>IF(A914="","",Students!F914)</x:f>
      </x:c>
      <x:c r="C914" s="17" t="str">
        <x:f>IF(A914="","",Students!G914)</x:f>
      </x:c>
      <x:c r="D914" s="17" t="str">
        <x:f>IF(A914="","",Students!H914)</x:f>
      </x:c>
      <x:c r="E914" s="22" t="str">
        <x:f>IF(A914="","",COUNTIFS(Late_Transactions!E:E,A914,Late_Transactions!K:K,"Recorded"))</x:f>
      </x:c>
      <x:c r="F914" s="21" t="n">
        <x:f>IFERROR(MAXIFS(Late_Transactions!C:C,Late_Transactions!E:E,A914,Late_Transactions!K:K,"Recorded"),"")</x:f>
        <x:v>0</x:v>
      </x:c>
      <x:c r="G914" s="17" t="str">
        <x:f>IF(E914="","",IF(E914&gt;=5,"High",IF(E914&gt;=3,"Watch","OK")))</x:f>
      </x:c>
    </x:row>
    <x:row r="915">
      <x:c r="A915" s="17" t="str">
        <x:f>IF(Students!A915="","",Students!A915)</x:f>
      </x:c>
      <x:c r="B915" s="17" t="str">
        <x:f>IF(A915="","",Students!F915)</x:f>
      </x:c>
      <x:c r="C915" s="17" t="str">
        <x:f>IF(A915="","",Students!G915)</x:f>
      </x:c>
      <x:c r="D915" s="17" t="str">
        <x:f>IF(A915="","",Students!H915)</x:f>
      </x:c>
      <x:c r="E915" s="22" t="str">
        <x:f>IF(A915="","",COUNTIFS(Late_Transactions!E:E,A915,Late_Transactions!K:K,"Recorded"))</x:f>
      </x:c>
      <x:c r="F915" s="21" t="n">
        <x:f>IFERROR(MAXIFS(Late_Transactions!C:C,Late_Transactions!E:E,A915,Late_Transactions!K:K,"Recorded"),"")</x:f>
        <x:v>0</x:v>
      </x:c>
      <x:c r="G915" s="17" t="str">
        <x:f>IF(E915="","",IF(E915&gt;=5,"High",IF(E915&gt;=3,"Watch","OK")))</x:f>
      </x:c>
    </x:row>
    <x:row r="916">
      <x:c r="A916" s="17" t="str">
        <x:f>IF(Students!A916="","",Students!A916)</x:f>
      </x:c>
      <x:c r="B916" s="17" t="str">
        <x:f>IF(A916="","",Students!F916)</x:f>
      </x:c>
      <x:c r="C916" s="17" t="str">
        <x:f>IF(A916="","",Students!G916)</x:f>
      </x:c>
      <x:c r="D916" s="17" t="str">
        <x:f>IF(A916="","",Students!H916)</x:f>
      </x:c>
      <x:c r="E916" s="22" t="str">
        <x:f>IF(A916="","",COUNTIFS(Late_Transactions!E:E,A916,Late_Transactions!K:K,"Recorded"))</x:f>
      </x:c>
      <x:c r="F916" s="21" t="n">
        <x:f>IFERROR(MAXIFS(Late_Transactions!C:C,Late_Transactions!E:E,A916,Late_Transactions!K:K,"Recorded"),"")</x:f>
        <x:v>0</x:v>
      </x:c>
      <x:c r="G916" s="17" t="str">
        <x:f>IF(E916="","",IF(E916&gt;=5,"High",IF(E916&gt;=3,"Watch","OK")))</x:f>
      </x:c>
    </x:row>
    <x:row r="917">
      <x:c r="A917" s="17" t="str">
        <x:f>IF(Students!A917="","",Students!A917)</x:f>
      </x:c>
      <x:c r="B917" s="17" t="str">
        <x:f>IF(A917="","",Students!F917)</x:f>
      </x:c>
      <x:c r="C917" s="17" t="str">
        <x:f>IF(A917="","",Students!G917)</x:f>
      </x:c>
      <x:c r="D917" s="17" t="str">
        <x:f>IF(A917="","",Students!H917)</x:f>
      </x:c>
      <x:c r="E917" s="22" t="str">
        <x:f>IF(A917="","",COUNTIFS(Late_Transactions!E:E,A917,Late_Transactions!K:K,"Recorded"))</x:f>
      </x:c>
      <x:c r="F917" s="21" t="n">
        <x:f>IFERROR(MAXIFS(Late_Transactions!C:C,Late_Transactions!E:E,A917,Late_Transactions!K:K,"Recorded"),"")</x:f>
        <x:v>0</x:v>
      </x:c>
      <x:c r="G917" s="17" t="str">
        <x:f>IF(E917="","",IF(E917&gt;=5,"High",IF(E917&gt;=3,"Watch","OK")))</x:f>
      </x:c>
    </x:row>
    <x:row r="918">
      <x:c r="A918" s="17" t="str">
        <x:f>IF(Students!A918="","",Students!A918)</x:f>
      </x:c>
      <x:c r="B918" s="17" t="str">
        <x:f>IF(A918="","",Students!F918)</x:f>
      </x:c>
      <x:c r="C918" s="17" t="str">
        <x:f>IF(A918="","",Students!G918)</x:f>
      </x:c>
      <x:c r="D918" s="17" t="str">
        <x:f>IF(A918="","",Students!H918)</x:f>
      </x:c>
      <x:c r="E918" s="22" t="str">
        <x:f>IF(A918="","",COUNTIFS(Late_Transactions!E:E,A918,Late_Transactions!K:K,"Recorded"))</x:f>
      </x:c>
      <x:c r="F918" s="21" t="n">
        <x:f>IFERROR(MAXIFS(Late_Transactions!C:C,Late_Transactions!E:E,A918,Late_Transactions!K:K,"Recorded"),"")</x:f>
        <x:v>0</x:v>
      </x:c>
      <x:c r="G918" s="17" t="str">
        <x:f>IF(E918="","",IF(E918&gt;=5,"High",IF(E918&gt;=3,"Watch","OK")))</x:f>
      </x:c>
    </x:row>
    <x:row r="919">
      <x:c r="A919" s="17" t="str">
        <x:f>IF(Students!A919="","",Students!A919)</x:f>
      </x:c>
      <x:c r="B919" s="17" t="str">
        <x:f>IF(A919="","",Students!F919)</x:f>
      </x:c>
      <x:c r="C919" s="17" t="str">
        <x:f>IF(A919="","",Students!G919)</x:f>
      </x:c>
      <x:c r="D919" s="17" t="str">
        <x:f>IF(A919="","",Students!H919)</x:f>
      </x:c>
      <x:c r="E919" s="22" t="str">
        <x:f>IF(A919="","",COUNTIFS(Late_Transactions!E:E,A919,Late_Transactions!K:K,"Recorded"))</x:f>
      </x:c>
      <x:c r="F919" s="21" t="n">
        <x:f>IFERROR(MAXIFS(Late_Transactions!C:C,Late_Transactions!E:E,A919,Late_Transactions!K:K,"Recorded"),"")</x:f>
        <x:v>0</x:v>
      </x:c>
      <x:c r="G919" s="17" t="str">
        <x:f>IF(E919="","",IF(E919&gt;=5,"High",IF(E919&gt;=3,"Watch","OK")))</x:f>
      </x:c>
    </x:row>
    <x:row r="920">
      <x:c r="A920" s="17" t="str">
        <x:f>IF(Students!A920="","",Students!A920)</x:f>
      </x:c>
      <x:c r="B920" s="17" t="str">
        <x:f>IF(A920="","",Students!F920)</x:f>
      </x:c>
      <x:c r="C920" s="17" t="str">
        <x:f>IF(A920="","",Students!G920)</x:f>
      </x:c>
      <x:c r="D920" s="17" t="str">
        <x:f>IF(A920="","",Students!H920)</x:f>
      </x:c>
      <x:c r="E920" s="22" t="str">
        <x:f>IF(A920="","",COUNTIFS(Late_Transactions!E:E,A920,Late_Transactions!K:K,"Recorded"))</x:f>
      </x:c>
      <x:c r="F920" s="21" t="n">
        <x:f>IFERROR(MAXIFS(Late_Transactions!C:C,Late_Transactions!E:E,A920,Late_Transactions!K:K,"Recorded"),"")</x:f>
        <x:v>0</x:v>
      </x:c>
      <x:c r="G920" s="17" t="str">
        <x:f>IF(E920="","",IF(E920&gt;=5,"High",IF(E920&gt;=3,"Watch","OK")))</x:f>
      </x:c>
    </x:row>
    <x:row r="921">
      <x:c r="A921" s="17" t="str">
        <x:f>IF(Students!A921="","",Students!A921)</x:f>
      </x:c>
      <x:c r="B921" s="17" t="str">
        <x:f>IF(A921="","",Students!F921)</x:f>
      </x:c>
      <x:c r="C921" s="17" t="str">
        <x:f>IF(A921="","",Students!G921)</x:f>
      </x:c>
      <x:c r="D921" s="17" t="str">
        <x:f>IF(A921="","",Students!H921)</x:f>
      </x:c>
      <x:c r="E921" s="22" t="str">
        <x:f>IF(A921="","",COUNTIFS(Late_Transactions!E:E,A921,Late_Transactions!K:K,"Recorded"))</x:f>
      </x:c>
      <x:c r="F921" s="21" t="n">
        <x:f>IFERROR(MAXIFS(Late_Transactions!C:C,Late_Transactions!E:E,A921,Late_Transactions!K:K,"Recorded"),"")</x:f>
        <x:v>0</x:v>
      </x:c>
      <x:c r="G921" s="17" t="str">
        <x:f>IF(E921="","",IF(E921&gt;=5,"High",IF(E921&gt;=3,"Watch","OK")))</x:f>
      </x:c>
    </x:row>
    <x:row r="922">
      <x:c r="A922" s="17" t="str">
        <x:f>IF(Students!A922="","",Students!A922)</x:f>
      </x:c>
      <x:c r="B922" s="17" t="str">
        <x:f>IF(A922="","",Students!F922)</x:f>
      </x:c>
      <x:c r="C922" s="17" t="str">
        <x:f>IF(A922="","",Students!G922)</x:f>
      </x:c>
      <x:c r="D922" s="17" t="str">
        <x:f>IF(A922="","",Students!H922)</x:f>
      </x:c>
      <x:c r="E922" s="22" t="str">
        <x:f>IF(A922="","",COUNTIFS(Late_Transactions!E:E,A922,Late_Transactions!K:K,"Recorded"))</x:f>
      </x:c>
      <x:c r="F922" s="21" t="n">
        <x:f>IFERROR(MAXIFS(Late_Transactions!C:C,Late_Transactions!E:E,A922,Late_Transactions!K:K,"Recorded"),"")</x:f>
        <x:v>0</x:v>
      </x:c>
      <x:c r="G922" s="17" t="str">
        <x:f>IF(E922="","",IF(E922&gt;=5,"High",IF(E922&gt;=3,"Watch","OK")))</x:f>
      </x:c>
    </x:row>
    <x:row r="923">
      <x:c r="A923" s="17" t="str">
        <x:f>IF(Students!A923="","",Students!A923)</x:f>
      </x:c>
      <x:c r="B923" s="17" t="str">
        <x:f>IF(A923="","",Students!F923)</x:f>
      </x:c>
      <x:c r="C923" s="17" t="str">
        <x:f>IF(A923="","",Students!G923)</x:f>
      </x:c>
      <x:c r="D923" s="17" t="str">
        <x:f>IF(A923="","",Students!H923)</x:f>
      </x:c>
      <x:c r="E923" s="22" t="str">
        <x:f>IF(A923="","",COUNTIFS(Late_Transactions!E:E,A923,Late_Transactions!K:K,"Recorded"))</x:f>
      </x:c>
      <x:c r="F923" s="21" t="n">
        <x:f>IFERROR(MAXIFS(Late_Transactions!C:C,Late_Transactions!E:E,A923,Late_Transactions!K:K,"Recorded"),"")</x:f>
        <x:v>0</x:v>
      </x:c>
      <x:c r="G923" s="17" t="str">
        <x:f>IF(E923="","",IF(E923&gt;=5,"High",IF(E923&gt;=3,"Watch","OK")))</x:f>
      </x:c>
    </x:row>
    <x:row r="924">
      <x:c r="A924" s="17" t="str">
        <x:f>IF(Students!A924="","",Students!A924)</x:f>
      </x:c>
      <x:c r="B924" s="17" t="str">
        <x:f>IF(A924="","",Students!F924)</x:f>
      </x:c>
      <x:c r="C924" s="17" t="str">
        <x:f>IF(A924="","",Students!G924)</x:f>
      </x:c>
      <x:c r="D924" s="17" t="str">
        <x:f>IF(A924="","",Students!H924)</x:f>
      </x:c>
      <x:c r="E924" s="22" t="str">
        <x:f>IF(A924="","",COUNTIFS(Late_Transactions!E:E,A924,Late_Transactions!K:K,"Recorded"))</x:f>
      </x:c>
      <x:c r="F924" s="21" t="n">
        <x:f>IFERROR(MAXIFS(Late_Transactions!C:C,Late_Transactions!E:E,A924,Late_Transactions!K:K,"Recorded"),"")</x:f>
        <x:v>0</x:v>
      </x:c>
      <x:c r="G924" s="17" t="str">
        <x:f>IF(E924="","",IF(E924&gt;=5,"High",IF(E924&gt;=3,"Watch","OK")))</x:f>
      </x:c>
    </x:row>
    <x:row r="925">
      <x:c r="A925" s="17" t="str">
        <x:f>IF(Students!A925="","",Students!A925)</x:f>
      </x:c>
      <x:c r="B925" s="17" t="str">
        <x:f>IF(A925="","",Students!F925)</x:f>
      </x:c>
      <x:c r="C925" s="17" t="str">
        <x:f>IF(A925="","",Students!G925)</x:f>
      </x:c>
      <x:c r="D925" s="17" t="str">
        <x:f>IF(A925="","",Students!H925)</x:f>
      </x:c>
      <x:c r="E925" s="22" t="str">
        <x:f>IF(A925="","",COUNTIFS(Late_Transactions!E:E,A925,Late_Transactions!K:K,"Recorded"))</x:f>
      </x:c>
      <x:c r="F925" s="21" t="n">
        <x:f>IFERROR(MAXIFS(Late_Transactions!C:C,Late_Transactions!E:E,A925,Late_Transactions!K:K,"Recorded"),"")</x:f>
        <x:v>0</x:v>
      </x:c>
      <x:c r="G925" s="17" t="str">
        <x:f>IF(E925="","",IF(E925&gt;=5,"High",IF(E925&gt;=3,"Watch","OK")))</x:f>
      </x:c>
    </x:row>
    <x:row r="926">
      <x:c r="A926" s="17" t="str">
        <x:f>IF(Students!A926="","",Students!A926)</x:f>
      </x:c>
      <x:c r="B926" s="17" t="str">
        <x:f>IF(A926="","",Students!F926)</x:f>
      </x:c>
      <x:c r="C926" s="17" t="str">
        <x:f>IF(A926="","",Students!G926)</x:f>
      </x:c>
      <x:c r="D926" s="17" t="str">
        <x:f>IF(A926="","",Students!H926)</x:f>
      </x:c>
      <x:c r="E926" s="22" t="str">
        <x:f>IF(A926="","",COUNTIFS(Late_Transactions!E:E,A926,Late_Transactions!K:K,"Recorded"))</x:f>
      </x:c>
      <x:c r="F926" s="21" t="n">
        <x:f>IFERROR(MAXIFS(Late_Transactions!C:C,Late_Transactions!E:E,A926,Late_Transactions!K:K,"Recorded"),"")</x:f>
        <x:v>0</x:v>
      </x:c>
      <x:c r="G926" s="17" t="str">
        <x:f>IF(E926="","",IF(E926&gt;=5,"High",IF(E926&gt;=3,"Watch","OK")))</x:f>
      </x:c>
    </x:row>
    <x:row r="927">
      <x:c r="A927" s="17" t="str">
        <x:f>IF(Students!A927="","",Students!A927)</x:f>
      </x:c>
      <x:c r="B927" s="17" t="str">
        <x:f>IF(A927="","",Students!F927)</x:f>
      </x:c>
      <x:c r="C927" s="17" t="str">
        <x:f>IF(A927="","",Students!G927)</x:f>
      </x:c>
      <x:c r="D927" s="17" t="str">
        <x:f>IF(A927="","",Students!H927)</x:f>
      </x:c>
      <x:c r="E927" s="22" t="str">
        <x:f>IF(A927="","",COUNTIFS(Late_Transactions!E:E,A927,Late_Transactions!K:K,"Recorded"))</x:f>
      </x:c>
      <x:c r="F927" s="21" t="n">
        <x:f>IFERROR(MAXIFS(Late_Transactions!C:C,Late_Transactions!E:E,A927,Late_Transactions!K:K,"Recorded"),"")</x:f>
        <x:v>0</x:v>
      </x:c>
      <x:c r="G927" s="17" t="str">
        <x:f>IF(E927="","",IF(E927&gt;=5,"High",IF(E927&gt;=3,"Watch","OK")))</x:f>
      </x:c>
    </x:row>
    <x:row r="928">
      <x:c r="A928" s="17" t="str">
        <x:f>IF(Students!A928="","",Students!A928)</x:f>
      </x:c>
      <x:c r="B928" s="17" t="str">
        <x:f>IF(A928="","",Students!F928)</x:f>
      </x:c>
      <x:c r="C928" s="17" t="str">
        <x:f>IF(A928="","",Students!G928)</x:f>
      </x:c>
      <x:c r="D928" s="17" t="str">
        <x:f>IF(A928="","",Students!H928)</x:f>
      </x:c>
      <x:c r="E928" s="22" t="str">
        <x:f>IF(A928="","",COUNTIFS(Late_Transactions!E:E,A928,Late_Transactions!K:K,"Recorded"))</x:f>
      </x:c>
      <x:c r="F928" s="21" t="n">
        <x:f>IFERROR(MAXIFS(Late_Transactions!C:C,Late_Transactions!E:E,A928,Late_Transactions!K:K,"Recorded"),"")</x:f>
        <x:v>0</x:v>
      </x:c>
      <x:c r="G928" s="17" t="str">
        <x:f>IF(E928="","",IF(E928&gt;=5,"High",IF(E928&gt;=3,"Watch","OK")))</x:f>
      </x:c>
    </x:row>
    <x:row r="929">
      <x:c r="A929" s="17" t="str">
        <x:f>IF(Students!A929="","",Students!A929)</x:f>
      </x:c>
      <x:c r="B929" s="17" t="str">
        <x:f>IF(A929="","",Students!F929)</x:f>
      </x:c>
      <x:c r="C929" s="17" t="str">
        <x:f>IF(A929="","",Students!G929)</x:f>
      </x:c>
      <x:c r="D929" s="17" t="str">
        <x:f>IF(A929="","",Students!H929)</x:f>
      </x:c>
      <x:c r="E929" s="22" t="str">
        <x:f>IF(A929="","",COUNTIFS(Late_Transactions!E:E,A929,Late_Transactions!K:K,"Recorded"))</x:f>
      </x:c>
      <x:c r="F929" s="21" t="n">
        <x:f>IFERROR(MAXIFS(Late_Transactions!C:C,Late_Transactions!E:E,A929,Late_Transactions!K:K,"Recorded"),"")</x:f>
        <x:v>0</x:v>
      </x:c>
      <x:c r="G929" s="17" t="str">
        <x:f>IF(E929="","",IF(E929&gt;=5,"High",IF(E929&gt;=3,"Watch","OK")))</x:f>
      </x:c>
    </x:row>
    <x:row r="930">
      <x:c r="A930" s="17" t="str">
        <x:f>IF(Students!A930="","",Students!A930)</x:f>
      </x:c>
      <x:c r="B930" s="17" t="str">
        <x:f>IF(A930="","",Students!F930)</x:f>
      </x:c>
      <x:c r="C930" s="17" t="str">
        <x:f>IF(A930="","",Students!G930)</x:f>
      </x:c>
      <x:c r="D930" s="17" t="str">
        <x:f>IF(A930="","",Students!H930)</x:f>
      </x:c>
      <x:c r="E930" s="22" t="str">
        <x:f>IF(A930="","",COUNTIFS(Late_Transactions!E:E,A930,Late_Transactions!K:K,"Recorded"))</x:f>
      </x:c>
      <x:c r="F930" s="21" t="n">
        <x:f>IFERROR(MAXIFS(Late_Transactions!C:C,Late_Transactions!E:E,A930,Late_Transactions!K:K,"Recorded"),"")</x:f>
        <x:v>0</x:v>
      </x:c>
      <x:c r="G930" s="17" t="str">
        <x:f>IF(E930="","",IF(E930&gt;=5,"High",IF(E930&gt;=3,"Watch","OK")))</x:f>
      </x:c>
    </x:row>
    <x:row r="931">
      <x:c r="A931" s="17" t="str">
        <x:f>IF(Students!A931="","",Students!A931)</x:f>
      </x:c>
      <x:c r="B931" s="17" t="str">
        <x:f>IF(A931="","",Students!F931)</x:f>
      </x:c>
      <x:c r="C931" s="17" t="str">
        <x:f>IF(A931="","",Students!G931)</x:f>
      </x:c>
      <x:c r="D931" s="17" t="str">
        <x:f>IF(A931="","",Students!H931)</x:f>
      </x:c>
      <x:c r="E931" s="22" t="str">
        <x:f>IF(A931="","",COUNTIFS(Late_Transactions!E:E,A931,Late_Transactions!K:K,"Recorded"))</x:f>
      </x:c>
      <x:c r="F931" s="21" t="n">
        <x:f>IFERROR(MAXIFS(Late_Transactions!C:C,Late_Transactions!E:E,A931,Late_Transactions!K:K,"Recorded"),"")</x:f>
        <x:v>0</x:v>
      </x:c>
      <x:c r="G931" s="17" t="str">
        <x:f>IF(E931="","",IF(E931&gt;=5,"High",IF(E931&gt;=3,"Watch","OK")))</x:f>
      </x:c>
    </x:row>
    <x:row r="932">
      <x:c r="A932" s="17" t="str">
        <x:f>IF(Students!A932="","",Students!A932)</x:f>
      </x:c>
      <x:c r="B932" s="17" t="str">
        <x:f>IF(A932="","",Students!F932)</x:f>
      </x:c>
      <x:c r="C932" s="17" t="str">
        <x:f>IF(A932="","",Students!G932)</x:f>
      </x:c>
      <x:c r="D932" s="17" t="str">
        <x:f>IF(A932="","",Students!H932)</x:f>
      </x:c>
      <x:c r="E932" s="22" t="str">
        <x:f>IF(A932="","",COUNTIFS(Late_Transactions!E:E,A932,Late_Transactions!K:K,"Recorded"))</x:f>
      </x:c>
      <x:c r="F932" s="21" t="n">
        <x:f>IFERROR(MAXIFS(Late_Transactions!C:C,Late_Transactions!E:E,A932,Late_Transactions!K:K,"Recorded"),"")</x:f>
        <x:v>0</x:v>
      </x:c>
      <x:c r="G932" s="17" t="str">
        <x:f>IF(E932="","",IF(E932&gt;=5,"High",IF(E932&gt;=3,"Watch","OK")))</x:f>
      </x:c>
    </x:row>
    <x:row r="933">
      <x:c r="A933" s="17" t="str">
        <x:f>IF(Students!A933="","",Students!A933)</x:f>
      </x:c>
      <x:c r="B933" s="17" t="str">
        <x:f>IF(A933="","",Students!F933)</x:f>
      </x:c>
      <x:c r="C933" s="17" t="str">
        <x:f>IF(A933="","",Students!G933)</x:f>
      </x:c>
      <x:c r="D933" s="17" t="str">
        <x:f>IF(A933="","",Students!H933)</x:f>
      </x:c>
      <x:c r="E933" s="22" t="str">
        <x:f>IF(A933="","",COUNTIFS(Late_Transactions!E:E,A933,Late_Transactions!K:K,"Recorded"))</x:f>
      </x:c>
      <x:c r="F933" s="21" t="n">
        <x:f>IFERROR(MAXIFS(Late_Transactions!C:C,Late_Transactions!E:E,A933,Late_Transactions!K:K,"Recorded"),"")</x:f>
        <x:v>0</x:v>
      </x:c>
      <x:c r="G933" s="17" t="str">
        <x:f>IF(E933="","",IF(E933&gt;=5,"High",IF(E933&gt;=3,"Watch","OK")))</x:f>
      </x:c>
    </x:row>
    <x:row r="934">
      <x:c r="A934" s="17" t="str">
        <x:f>IF(Students!A934="","",Students!A934)</x:f>
      </x:c>
      <x:c r="B934" s="17" t="str">
        <x:f>IF(A934="","",Students!F934)</x:f>
      </x:c>
      <x:c r="C934" s="17" t="str">
        <x:f>IF(A934="","",Students!G934)</x:f>
      </x:c>
      <x:c r="D934" s="17" t="str">
        <x:f>IF(A934="","",Students!H934)</x:f>
      </x:c>
      <x:c r="E934" s="22" t="str">
        <x:f>IF(A934="","",COUNTIFS(Late_Transactions!E:E,A934,Late_Transactions!K:K,"Recorded"))</x:f>
      </x:c>
      <x:c r="F934" s="21" t="n">
        <x:f>IFERROR(MAXIFS(Late_Transactions!C:C,Late_Transactions!E:E,A934,Late_Transactions!K:K,"Recorded"),"")</x:f>
        <x:v>0</x:v>
      </x:c>
      <x:c r="G934" s="17" t="str">
        <x:f>IF(E934="","",IF(E934&gt;=5,"High",IF(E934&gt;=3,"Watch","OK")))</x:f>
      </x:c>
    </x:row>
    <x:row r="935">
      <x:c r="A935" s="17" t="str">
        <x:f>IF(Students!A935="","",Students!A935)</x:f>
      </x:c>
      <x:c r="B935" s="17" t="str">
        <x:f>IF(A935="","",Students!F935)</x:f>
      </x:c>
      <x:c r="C935" s="17" t="str">
        <x:f>IF(A935="","",Students!G935)</x:f>
      </x:c>
      <x:c r="D935" s="17" t="str">
        <x:f>IF(A935="","",Students!H935)</x:f>
      </x:c>
      <x:c r="E935" s="22" t="str">
        <x:f>IF(A935="","",COUNTIFS(Late_Transactions!E:E,A935,Late_Transactions!K:K,"Recorded"))</x:f>
      </x:c>
      <x:c r="F935" s="21" t="n">
        <x:f>IFERROR(MAXIFS(Late_Transactions!C:C,Late_Transactions!E:E,A935,Late_Transactions!K:K,"Recorded"),"")</x:f>
        <x:v>0</x:v>
      </x:c>
      <x:c r="G935" s="17" t="str">
        <x:f>IF(E935="","",IF(E935&gt;=5,"High",IF(E935&gt;=3,"Watch","OK")))</x:f>
      </x:c>
    </x:row>
    <x:row r="936">
      <x:c r="A936" s="17" t="str">
        <x:f>IF(Students!A936="","",Students!A936)</x:f>
      </x:c>
      <x:c r="B936" s="17" t="str">
        <x:f>IF(A936="","",Students!F936)</x:f>
      </x:c>
      <x:c r="C936" s="17" t="str">
        <x:f>IF(A936="","",Students!G936)</x:f>
      </x:c>
      <x:c r="D936" s="17" t="str">
        <x:f>IF(A936="","",Students!H936)</x:f>
      </x:c>
      <x:c r="E936" s="22" t="str">
        <x:f>IF(A936="","",COUNTIFS(Late_Transactions!E:E,A936,Late_Transactions!K:K,"Recorded"))</x:f>
      </x:c>
      <x:c r="F936" s="21" t="n">
        <x:f>IFERROR(MAXIFS(Late_Transactions!C:C,Late_Transactions!E:E,A936,Late_Transactions!K:K,"Recorded"),"")</x:f>
        <x:v>0</x:v>
      </x:c>
      <x:c r="G936" s="17" t="str">
        <x:f>IF(E936="","",IF(E936&gt;=5,"High",IF(E936&gt;=3,"Watch","OK")))</x:f>
      </x:c>
    </x:row>
    <x:row r="937">
      <x:c r="A937" s="17" t="str">
        <x:f>IF(Students!A937="","",Students!A937)</x:f>
      </x:c>
      <x:c r="B937" s="17" t="str">
        <x:f>IF(A937="","",Students!F937)</x:f>
      </x:c>
      <x:c r="C937" s="17" t="str">
        <x:f>IF(A937="","",Students!G937)</x:f>
      </x:c>
      <x:c r="D937" s="17" t="str">
        <x:f>IF(A937="","",Students!H937)</x:f>
      </x:c>
      <x:c r="E937" s="22" t="str">
        <x:f>IF(A937="","",COUNTIFS(Late_Transactions!E:E,A937,Late_Transactions!K:K,"Recorded"))</x:f>
      </x:c>
      <x:c r="F937" s="21" t="n">
        <x:f>IFERROR(MAXIFS(Late_Transactions!C:C,Late_Transactions!E:E,A937,Late_Transactions!K:K,"Recorded"),"")</x:f>
        <x:v>0</x:v>
      </x:c>
      <x:c r="G937" s="17" t="str">
        <x:f>IF(E937="","",IF(E937&gt;=5,"High",IF(E937&gt;=3,"Watch","OK")))</x:f>
      </x:c>
    </x:row>
    <x:row r="938">
      <x:c r="A938" s="17" t="str">
        <x:f>IF(Students!A938="","",Students!A938)</x:f>
      </x:c>
      <x:c r="B938" s="17" t="str">
        <x:f>IF(A938="","",Students!F938)</x:f>
      </x:c>
      <x:c r="C938" s="17" t="str">
        <x:f>IF(A938="","",Students!G938)</x:f>
      </x:c>
      <x:c r="D938" s="17" t="str">
        <x:f>IF(A938="","",Students!H938)</x:f>
      </x:c>
      <x:c r="E938" s="22" t="str">
        <x:f>IF(A938="","",COUNTIFS(Late_Transactions!E:E,A938,Late_Transactions!K:K,"Recorded"))</x:f>
      </x:c>
      <x:c r="F938" s="21" t="n">
        <x:f>IFERROR(MAXIFS(Late_Transactions!C:C,Late_Transactions!E:E,A938,Late_Transactions!K:K,"Recorded"),"")</x:f>
        <x:v>0</x:v>
      </x:c>
      <x:c r="G938" s="17" t="str">
        <x:f>IF(E938="","",IF(E938&gt;=5,"High",IF(E938&gt;=3,"Watch","OK")))</x:f>
      </x:c>
    </x:row>
    <x:row r="939">
      <x:c r="A939" s="17" t="str">
        <x:f>IF(Students!A939="","",Students!A939)</x:f>
      </x:c>
      <x:c r="B939" s="17" t="str">
        <x:f>IF(A939="","",Students!F939)</x:f>
      </x:c>
      <x:c r="C939" s="17" t="str">
        <x:f>IF(A939="","",Students!G939)</x:f>
      </x:c>
      <x:c r="D939" s="17" t="str">
        <x:f>IF(A939="","",Students!H939)</x:f>
      </x:c>
      <x:c r="E939" s="22" t="str">
        <x:f>IF(A939="","",COUNTIFS(Late_Transactions!E:E,A939,Late_Transactions!K:K,"Recorded"))</x:f>
      </x:c>
      <x:c r="F939" s="21" t="n">
        <x:f>IFERROR(MAXIFS(Late_Transactions!C:C,Late_Transactions!E:E,A939,Late_Transactions!K:K,"Recorded"),"")</x:f>
        <x:v>0</x:v>
      </x:c>
      <x:c r="G939" s="17" t="str">
        <x:f>IF(E939="","",IF(E939&gt;=5,"High",IF(E939&gt;=3,"Watch","OK")))</x:f>
      </x:c>
    </x:row>
    <x:row r="940">
      <x:c r="A940" s="17" t="str">
        <x:f>IF(Students!A940="","",Students!A940)</x:f>
      </x:c>
      <x:c r="B940" s="17" t="str">
        <x:f>IF(A940="","",Students!F940)</x:f>
      </x:c>
      <x:c r="C940" s="17" t="str">
        <x:f>IF(A940="","",Students!G940)</x:f>
      </x:c>
      <x:c r="D940" s="17" t="str">
        <x:f>IF(A940="","",Students!H940)</x:f>
      </x:c>
      <x:c r="E940" s="22" t="str">
        <x:f>IF(A940="","",COUNTIFS(Late_Transactions!E:E,A940,Late_Transactions!K:K,"Recorded"))</x:f>
      </x:c>
      <x:c r="F940" s="21" t="n">
        <x:f>IFERROR(MAXIFS(Late_Transactions!C:C,Late_Transactions!E:E,A940,Late_Transactions!K:K,"Recorded"),"")</x:f>
        <x:v>0</x:v>
      </x:c>
      <x:c r="G940" s="17" t="str">
        <x:f>IF(E940="","",IF(E940&gt;=5,"High",IF(E940&gt;=3,"Watch","OK")))</x:f>
      </x:c>
    </x:row>
    <x:row r="941">
      <x:c r="A941" s="17" t="str">
        <x:f>IF(Students!A941="","",Students!A941)</x:f>
      </x:c>
      <x:c r="B941" s="17" t="str">
        <x:f>IF(A941="","",Students!F941)</x:f>
      </x:c>
      <x:c r="C941" s="17" t="str">
        <x:f>IF(A941="","",Students!G941)</x:f>
      </x:c>
      <x:c r="D941" s="17" t="str">
        <x:f>IF(A941="","",Students!H941)</x:f>
      </x:c>
      <x:c r="E941" s="22" t="str">
        <x:f>IF(A941="","",COUNTIFS(Late_Transactions!E:E,A941,Late_Transactions!K:K,"Recorded"))</x:f>
      </x:c>
      <x:c r="F941" s="21" t="n">
        <x:f>IFERROR(MAXIFS(Late_Transactions!C:C,Late_Transactions!E:E,A941,Late_Transactions!K:K,"Recorded"),"")</x:f>
        <x:v>0</x:v>
      </x:c>
      <x:c r="G941" s="17" t="str">
        <x:f>IF(E941="","",IF(E941&gt;=5,"High",IF(E941&gt;=3,"Watch","OK")))</x:f>
      </x:c>
    </x:row>
    <x:row r="942">
      <x:c r="A942" s="17" t="str">
        <x:f>IF(Students!A942="","",Students!A942)</x:f>
      </x:c>
      <x:c r="B942" s="17" t="str">
        <x:f>IF(A942="","",Students!F942)</x:f>
      </x:c>
      <x:c r="C942" s="17" t="str">
        <x:f>IF(A942="","",Students!G942)</x:f>
      </x:c>
      <x:c r="D942" s="17" t="str">
        <x:f>IF(A942="","",Students!H942)</x:f>
      </x:c>
      <x:c r="E942" s="22" t="str">
        <x:f>IF(A942="","",COUNTIFS(Late_Transactions!E:E,A942,Late_Transactions!K:K,"Recorded"))</x:f>
      </x:c>
      <x:c r="F942" s="21" t="n">
        <x:f>IFERROR(MAXIFS(Late_Transactions!C:C,Late_Transactions!E:E,A942,Late_Transactions!K:K,"Recorded"),"")</x:f>
        <x:v>0</x:v>
      </x:c>
      <x:c r="G942" s="17" t="str">
        <x:f>IF(E942="","",IF(E942&gt;=5,"High",IF(E942&gt;=3,"Watch","OK")))</x:f>
      </x:c>
    </x:row>
    <x:row r="943">
      <x:c r="A943" s="17" t="str">
        <x:f>IF(Students!A943="","",Students!A943)</x:f>
      </x:c>
      <x:c r="B943" s="17" t="str">
        <x:f>IF(A943="","",Students!F943)</x:f>
      </x:c>
      <x:c r="C943" s="17" t="str">
        <x:f>IF(A943="","",Students!G943)</x:f>
      </x:c>
      <x:c r="D943" s="17" t="str">
        <x:f>IF(A943="","",Students!H943)</x:f>
      </x:c>
      <x:c r="E943" s="22" t="str">
        <x:f>IF(A943="","",COUNTIFS(Late_Transactions!E:E,A943,Late_Transactions!K:K,"Recorded"))</x:f>
      </x:c>
      <x:c r="F943" s="21" t="n">
        <x:f>IFERROR(MAXIFS(Late_Transactions!C:C,Late_Transactions!E:E,A943,Late_Transactions!K:K,"Recorded"),"")</x:f>
        <x:v>0</x:v>
      </x:c>
      <x:c r="G943" s="17" t="str">
        <x:f>IF(E943="","",IF(E943&gt;=5,"High",IF(E943&gt;=3,"Watch","OK")))</x:f>
      </x:c>
    </x:row>
    <x:row r="944">
      <x:c r="A944" s="17" t="str">
        <x:f>IF(Students!A944="","",Students!A944)</x:f>
      </x:c>
      <x:c r="B944" s="17" t="str">
        <x:f>IF(A944="","",Students!F944)</x:f>
      </x:c>
      <x:c r="C944" s="17" t="str">
        <x:f>IF(A944="","",Students!G944)</x:f>
      </x:c>
      <x:c r="D944" s="17" t="str">
        <x:f>IF(A944="","",Students!H944)</x:f>
      </x:c>
      <x:c r="E944" s="22" t="str">
        <x:f>IF(A944="","",COUNTIFS(Late_Transactions!E:E,A944,Late_Transactions!K:K,"Recorded"))</x:f>
      </x:c>
      <x:c r="F944" s="21" t="n">
        <x:f>IFERROR(MAXIFS(Late_Transactions!C:C,Late_Transactions!E:E,A944,Late_Transactions!K:K,"Recorded"),"")</x:f>
        <x:v>0</x:v>
      </x:c>
      <x:c r="G944" s="17" t="str">
        <x:f>IF(E944="","",IF(E944&gt;=5,"High",IF(E944&gt;=3,"Watch","OK")))</x:f>
      </x:c>
    </x:row>
    <x:row r="945">
      <x:c r="A945" s="17" t="str">
        <x:f>IF(Students!A945="","",Students!A945)</x:f>
      </x:c>
      <x:c r="B945" s="17" t="str">
        <x:f>IF(A945="","",Students!F945)</x:f>
      </x:c>
      <x:c r="C945" s="17" t="str">
        <x:f>IF(A945="","",Students!G945)</x:f>
      </x:c>
      <x:c r="D945" s="17" t="str">
        <x:f>IF(A945="","",Students!H945)</x:f>
      </x:c>
      <x:c r="E945" s="22" t="str">
        <x:f>IF(A945="","",COUNTIFS(Late_Transactions!E:E,A945,Late_Transactions!K:K,"Recorded"))</x:f>
      </x:c>
      <x:c r="F945" s="21" t="n">
        <x:f>IFERROR(MAXIFS(Late_Transactions!C:C,Late_Transactions!E:E,A945,Late_Transactions!K:K,"Recorded"),"")</x:f>
        <x:v>0</x:v>
      </x:c>
      <x:c r="G945" s="17" t="str">
        <x:f>IF(E945="","",IF(E945&gt;=5,"High",IF(E945&gt;=3,"Watch","OK")))</x:f>
      </x:c>
    </x:row>
    <x:row r="946">
      <x:c r="A946" s="17" t="str">
        <x:f>IF(Students!A946="","",Students!A946)</x:f>
      </x:c>
      <x:c r="B946" s="17" t="str">
        <x:f>IF(A946="","",Students!F946)</x:f>
      </x:c>
      <x:c r="C946" s="17" t="str">
        <x:f>IF(A946="","",Students!G946)</x:f>
      </x:c>
      <x:c r="D946" s="17" t="str">
        <x:f>IF(A946="","",Students!H946)</x:f>
      </x:c>
      <x:c r="E946" s="22" t="str">
        <x:f>IF(A946="","",COUNTIFS(Late_Transactions!E:E,A946,Late_Transactions!K:K,"Recorded"))</x:f>
      </x:c>
      <x:c r="F946" s="21" t="n">
        <x:f>IFERROR(MAXIFS(Late_Transactions!C:C,Late_Transactions!E:E,A946,Late_Transactions!K:K,"Recorded"),"")</x:f>
        <x:v>0</x:v>
      </x:c>
      <x:c r="G946" s="17" t="str">
        <x:f>IF(E946="","",IF(E946&gt;=5,"High",IF(E946&gt;=3,"Watch","OK")))</x:f>
      </x:c>
    </x:row>
    <x:row r="947">
      <x:c r="A947" s="17" t="str">
        <x:f>IF(Students!A947="","",Students!A947)</x:f>
      </x:c>
      <x:c r="B947" s="17" t="str">
        <x:f>IF(A947="","",Students!F947)</x:f>
      </x:c>
      <x:c r="C947" s="17" t="str">
        <x:f>IF(A947="","",Students!G947)</x:f>
      </x:c>
      <x:c r="D947" s="17" t="str">
        <x:f>IF(A947="","",Students!H947)</x:f>
      </x:c>
      <x:c r="E947" s="22" t="str">
        <x:f>IF(A947="","",COUNTIFS(Late_Transactions!E:E,A947,Late_Transactions!K:K,"Recorded"))</x:f>
      </x:c>
      <x:c r="F947" s="21" t="n">
        <x:f>IFERROR(MAXIFS(Late_Transactions!C:C,Late_Transactions!E:E,A947,Late_Transactions!K:K,"Recorded"),"")</x:f>
        <x:v>0</x:v>
      </x:c>
      <x:c r="G947" s="17" t="str">
        <x:f>IF(E947="","",IF(E947&gt;=5,"High",IF(E947&gt;=3,"Watch","OK")))</x:f>
      </x:c>
    </x:row>
    <x:row r="948">
      <x:c r="A948" s="17" t="str">
        <x:f>IF(Students!A948="","",Students!A948)</x:f>
      </x:c>
      <x:c r="B948" s="17" t="str">
        <x:f>IF(A948="","",Students!F948)</x:f>
      </x:c>
      <x:c r="C948" s="17" t="str">
        <x:f>IF(A948="","",Students!G948)</x:f>
      </x:c>
      <x:c r="D948" s="17" t="str">
        <x:f>IF(A948="","",Students!H948)</x:f>
      </x:c>
      <x:c r="E948" s="22" t="str">
        <x:f>IF(A948="","",COUNTIFS(Late_Transactions!E:E,A948,Late_Transactions!K:K,"Recorded"))</x:f>
      </x:c>
      <x:c r="F948" s="21" t="n">
        <x:f>IFERROR(MAXIFS(Late_Transactions!C:C,Late_Transactions!E:E,A948,Late_Transactions!K:K,"Recorded"),"")</x:f>
        <x:v>0</x:v>
      </x:c>
      <x:c r="G948" s="17" t="str">
        <x:f>IF(E948="","",IF(E948&gt;=5,"High",IF(E948&gt;=3,"Watch","OK")))</x:f>
      </x:c>
    </x:row>
    <x:row r="949">
      <x:c r="A949" s="17" t="str">
        <x:f>IF(Students!A949="","",Students!A949)</x:f>
      </x:c>
      <x:c r="B949" s="17" t="str">
        <x:f>IF(A949="","",Students!F949)</x:f>
      </x:c>
      <x:c r="C949" s="17" t="str">
        <x:f>IF(A949="","",Students!G949)</x:f>
      </x:c>
      <x:c r="D949" s="17" t="str">
        <x:f>IF(A949="","",Students!H949)</x:f>
      </x:c>
      <x:c r="E949" s="22" t="str">
        <x:f>IF(A949="","",COUNTIFS(Late_Transactions!E:E,A949,Late_Transactions!K:K,"Recorded"))</x:f>
      </x:c>
      <x:c r="F949" s="21" t="n">
        <x:f>IFERROR(MAXIFS(Late_Transactions!C:C,Late_Transactions!E:E,A949,Late_Transactions!K:K,"Recorded"),"")</x:f>
        <x:v>0</x:v>
      </x:c>
      <x:c r="G949" s="17" t="str">
        <x:f>IF(E949="","",IF(E949&gt;=5,"High",IF(E949&gt;=3,"Watch","OK")))</x:f>
      </x:c>
    </x:row>
    <x:row r="950">
      <x:c r="A950" s="17" t="str">
        <x:f>IF(Students!A950="","",Students!A950)</x:f>
      </x:c>
      <x:c r="B950" s="17" t="str">
        <x:f>IF(A950="","",Students!F950)</x:f>
      </x:c>
      <x:c r="C950" s="17" t="str">
        <x:f>IF(A950="","",Students!G950)</x:f>
      </x:c>
      <x:c r="D950" s="17" t="str">
        <x:f>IF(A950="","",Students!H950)</x:f>
      </x:c>
      <x:c r="E950" s="22" t="str">
        <x:f>IF(A950="","",COUNTIFS(Late_Transactions!E:E,A950,Late_Transactions!K:K,"Recorded"))</x:f>
      </x:c>
      <x:c r="F950" s="21" t="n">
        <x:f>IFERROR(MAXIFS(Late_Transactions!C:C,Late_Transactions!E:E,A950,Late_Transactions!K:K,"Recorded"),"")</x:f>
        <x:v>0</x:v>
      </x:c>
      <x:c r="G950" s="17" t="str">
        <x:f>IF(E950="","",IF(E950&gt;=5,"High",IF(E950&gt;=3,"Watch","OK")))</x:f>
      </x:c>
    </x:row>
    <x:row r="951">
      <x:c r="A951" s="17" t="str">
        <x:f>IF(Students!A951="","",Students!A951)</x:f>
      </x:c>
      <x:c r="B951" s="17" t="str">
        <x:f>IF(A951="","",Students!F951)</x:f>
      </x:c>
      <x:c r="C951" s="17" t="str">
        <x:f>IF(A951="","",Students!G951)</x:f>
      </x:c>
      <x:c r="D951" s="17" t="str">
        <x:f>IF(A951="","",Students!H951)</x:f>
      </x:c>
      <x:c r="E951" s="22" t="str">
        <x:f>IF(A951="","",COUNTIFS(Late_Transactions!E:E,A951,Late_Transactions!K:K,"Recorded"))</x:f>
      </x:c>
      <x:c r="F951" s="21" t="n">
        <x:f>IFERROR(MAXIFS(Late_Transactions!C:C,Late_Transactions!E:E,A951,Late_Transactions!K:K,"Recorded"),"")</x:f>
        <x:v>0</x:v>
      </x:c>
      <x:c r="G951" s="17" t="str">
        <x:f>IF(E951="","",IF(E951&gt;=5,"High",IF(E951&gt;=3,"Watch","OK")))</x:f>
      </x:c>
    </x:row>
    <x:row r="952">
      <x:c r="A952" s="17" t="str">
        <x:f>IF(Students!A952="","",Students!A952)</x:f>
      </x:c>
      <x:c r="B952" s="17" t="str">
        <x:f>IF(A952="","",Students!F952)</x:f>
      </x:c>
      <x:c r="C952" s="17" t="str">
        <x:f>IF(A952="","",Students!G952)</x:f>
      </x:c>
      <x:c r="D952" s="17" t="str">
        <x:f>IF(A952="","",Students!H952)</x:f>
      </x:c>
      <x:c r="E952" s="22" t="str">
        <x:f>IF(A952="","",COUNTIFS(Late_Transactions!E:E,A952,Late_Transactions!K:K,"Recorded"))</x:f>
      </x:c>
      <x:c r="F952" s="21" t="n">
        <x:f>IFERROR(MAXIFS(Late_Transactions!C:C,Late_Transactions!E:E,A952,Late_Transactions!K:K,"Recorded"),"")</x:f>
        <x:v>0</x:v>
      </x:c>
      <x:c r="G952" s="17" t="str">
        <x:f>IF(E952="","",IF(E952&gt;=5,"High",IF(E952&gt;=3,"Watch","OK")))</x:f>
      </x:c>
    </x:row>
    <x:row r="953">
      <x:c r="A953" s="17" t="str">
        <x:f>IF(Students!A953="","",Students!A953)</x:f>
      </x:c>
      <x:c r="B953" s="17" t="str">
        <x:f>IF(A953="","",Students!F953)</x:f>
      </x:c>
      <x:c r="C953" s="17" t="str">
        <x:f>IF(A953="","",Students!G953)</x:f>
      </x:c>
      <x:c r="D953" s="17" t="str">
        <x:f>IF(A953="","",Students!H953)</x:f>
      </x:c>
      <x:c r="E953" s="22" t="str">
        <x:f>IF(A953="","",COUNTIFS(Late_Transactions!E:E,A953,Late_Transactions!K:K,"Recorded"))</x:f>
      </x:c>
      <x:c r="F953" s="21" t="n">
        <x:f>IFERROR(MAXIFS(Late_Transactions!C:C,Late_Transactions!E:E,A953,Late_Transactions!K:K,"Recorded"),"")</x:f>
        <x:v>0</x:v>
      </x:c>
      <x:c r="G953" s="17" t="str">
        <x:f>IF(E953="","",IF(E953&gt;=5,"High",IF(E953&gt;=3,"Watch","OK")))</x:f>
      </x:c>
    </x:row>
    <x:row r="954">
      <x:c r="A954" s="17" t="str">
        <x:f>IF(Students!A954="","",Students!A954)</x:f>
      </x:c>
      <x:c r="B954" s="17" t="str">
        <x:f>IF(A954="","",Students!F954)</x:f>
      </x:c>
      <x:c r="C954" s="17" t="str">
        <x:f>IF(A954="","",Students!G954)</x:f>
      </x:c>
      <x:c r="D954" s="17" t="str">
        <x:f>IF(A954="","",Students!H954)</x:f>
      </x:c>
      <x:c r="E954" s="22" t="str">
        <x:f>IF(A954="","",COUNTIFS(Late_Transactions!E:E,A954,Late_Transactions!K:K,"Recorded"))</x:f>
      </x:c>
      <x:c r="F954" s="21" t="n">
        <x:f>IFERROR(MAXIFS(Late_Transactions!C:C,Late_Transactions!E:E,A954,Late_Transactions!K:K,"Recorded"),"")</x:f>
        <x:v>0</x:v>
      </x:c>
      <x:c r="G954" s="17" t="str">
        <x:f>IF(E954="","",IF(E954&gt;=5,"High",IF(E954&gt;=3,"Watch","OK")))</x:f>
      </x:c>
    </x:row>
    <x:row r="955">
      <x:c r="A955" s="17" t="str">
        <x:f>IF(Students!A955="","",Students!A955)</x:f>
      </x:c>
      <x:c r="B955" s="17" t="str">
        <x:f>IF(A955="","",Students!F955)</x:f>
      </x:c>
      <x:c r="C955" s="17" t="str">
        <x:f>IF(A955="","",Students!G955)</x:f>
      </x:c>
      <x:c r="D955" s="17" t="str">
        <x:f>IF(A955="","",Students!H955)</x:f>
      </x:c>
      <x:c r="E955" s="22" t="str">
        <x:f>IF(A955="","",COUNTIFS(Late_Transactions!E:E,A955,Late_Transactions!K:K,"Recorded"))</x:f>
      </x:c>
      <x:c r="F955" s="21" t="n">
        <x:f>IFERROR(MAXIFS(Late_Transactions!C:C,Late_Transactions!E:E,A955,Late_Transactions!K:K,"Recorded"),"")</x:f>
        <x:v>0</x:v>
      </x:c>
      <x:c r="G955" s="17" t="str">
        <x:f>IF(E955="","",IF(E955&gt;=5,"High",IF(E955&gt;=3,"Watch","OK")))</x:f>
      </x:c>
    </x:row>
    <x:row r="956">
      <x:c r="A956" s="17" t="str">
        <x:f>IF(Students!A956="","",Students!A956)</x:f>
      </x:c>
      <x:c r="B956" s="17" t="str">
        <x:f>IF(A956="","",Students!F956)</x:f>
      </x:c>
      <x:c r="C956" s="17" t="str">
        <x:f>IF(A956="","",Students!G956)</x:f>
      </x:c>
      <x:c r="D956" s="17" t="str">
        <x:f>IF(A956="","",Students!H956)</x:f>
      </x:c>
      <x:c r="E956" s="22" t="str">
        <x:f>IF(A956="","",COUNTIFS(Late_Transactions!E:E,A956,Late_Transactions!K:K,"Recorded"))</x:f>
      </x:c>
      <x:c r="F956" s="21" t="n">
        <x:f>IFERROR(MAXIFS(Late_Transactions!C:C,Late_Transactions!E:E,A956,Late_Transactions!K:K,"Recorded"),"")</x:f>
        <x:v>0</x:v>
      </x:c>
      <x:c r="G956" s="17" t="str">
        <x:f>IF(E956="","",IF(E956&gt;=5,"High",IF(E956&gt;=3,"Watch","OK")))</x:f>
      </x:c>
    </x:row>
    <x:row r="957">
      <x:c r="A957" s="17" t="str">
        <x:f>IF(Students!A957="","",Students!A957)</x:f>
      </x:c>
      <x:c r="B957" s="17" t="str">
        <x:f>IF(A957="","",Students!F957)</x:f>
      </x:c>
      <x:c r="C957" s="17" t="str">
        <x:f>IF(A957="","",Students!G957)</x:f>
      </x:c>
      <x:c r="D957" s="17" t="str">
        <x:f>IF(A957="","",Students!H957)</x:f>
      </x:c>
      <x:c r="E957" s="22" t="str">
        <x:f>IF(A957="","",COUNTIFS(Late_Transactions!E:E,A957,Late_Transactions!K:K,"Recorded"))</x:f>
      </x:c>
      <x:c r="F957" s="21" t="n">
        <x:f>IFERROR(MAXIFS(Late_Transactions!C:C,Late_Transactions!E:E,A957,Late_Transactions!K:K,"Recorded"),"")</x:f>
        <x:v>0</x:v>
      </x:c>
      <x:c r="G957" s="17" t="str">
        <x:f>IF(E957="","",IF(E957&gt;=5,"High",IF(E957&gt;=3,"Watch","OK")))</x:f>
      </x:c>
    </x:row>
    <x:row r="958">
      <x:c r="A958" s="17" t="str">
        <x:f>IF(Students!A958="","",Students!A958)</x:f>
      </x:c>
      <x:c r="B958" s="17" t="str">
        <x:f>IF(A958="","",Students!F958)</x:f>
      </x:c>
      <x:c r="C958" s="17" t="str">
        <x:f>IF(A958="","",Students!G958)</x:f>
      </x:c>
      <x:c r="D958" s="17" t="str">
        <x:f>IF(A958="","",Students!H958)</x:f>
      </x:c>
      <x:c r="E958" s="22" t="str">
        <x:f>IF(A958="","",COUNTIFS(Late_Transactions!E:E,A958,Late_Transactions!K:K,"Recorded"))</x:f>
      </x:c>
      <x:c r="F958" s="21" t="n">
        <x:f>IFERROR(MAXIFS(Late_Transactions!C:C,Late_Transactions!E:E,A958,Late_Transactions!K:K,"Recorded"),"")</x:f>
        <x:v>0</x:v>
      </x:c>
      <x:c r="G958" s="17" t="str">
        <x:f>IF(E958="","",IF(E958&gt;=5,"High",IF(E958&gt;=3,"Watch","OK")))</x:f>
      </x:c>
    </x:row>
    <x:row r="959">
      <x:c r="A959" s="17" t="str">
        <x:f>IF(Students!A959="","",Students!A959)</x:f>
      </x:c>
      <x:c r="B959" s="17" t="str">
        <x:f>IF(A959="","",Students!F959)</x:f>
      </x:c>
      <x:c r="C959" s="17" t="str">
        <x:f>IF(A959="","",Students!G959)</x:f>
      </x:c>
      <x:c r="D959" s="17" t="str">
        <x:f>IF(A959="","",Students!H959)</x:f>
      </x:c>
      <x:c r="E959" s="22" t="str">
        <x:f>IF(A959="","",COUNTIFS(Late_Transactions!E:E,A959,Late_Transactions!K:K,"Recorded"))</x:f>
      </x:c>
      <x:c r="F959" s="21" t="n">
        <x:f>IFERROR(MAXIFS(Late_Transactions!C:C,Late_Transactions!E:E,A959,Late_Transactions!K:K,"Recorded"),"")</x:f>
        <x:v>0</x:v>
      </x:c>
      <x:c r="G959" s="17" t="str">
        <x:f>IF(E959="","",IF(E959&gt;=5,"High",IF(E959&gt;=3,"Watch","OK")))</x:f>
      </x:c>
    </x:row>
    <x:row r="960">
      <x:c r="A960" s="17" t="str">
        <x:f>IF(Students!A960="","",Students!A960)</x:f>
      </x:c>
      <x:c r="B960" s="17" t="str">
        <x:f>IF(A960="","",Students!F960)</x:f>
      </x:c>
      <x:c r="C960" s="17" t="str">
        <x:f>IF(A960="","",Students!G960)</x:f>
      </x:c>
      <x:c r="D960" s="17" t="str">
        <x:f>IF(A960="","",Students!H960)</x:f>
      </x:c>
      <x:c r="E960" s="22" t="str">
        <x:f>IF(A960="","",COUNTIFS(Late_Transactions!E:E,A960,Late_Transactions!K:K,"Recorded"))</x:f>
      </x:c>
      <x:c r="F960" s="21" t="n">
        <x:f>IFERROR(MAXIFS(Late_Transactions!C:C,Late_Transactions!E:E,A960,Late_Transactions!K:K,"Recorded"),"")</x:f>
        <x:v>0</x:v>
      </x:c>
      <x:c r="G960" s="17" t="str">
        <x:f>IF(E960="","",IF(E960&gt;=5,"High",IF(E960&gt;=3,"Watch","OK")))</x:f>
      </x:c>
    </x:row>
    <x:row r="961">
      <x:c r="A961" s="17" t="str">
        <x:f>IF(Students!A961="","",Students!A961)</x:f>
      </x:c>
      <x:c r="B961" s="17" t="str">
        <x:f>IF(A961="","",Students!F961)</x:f>
      </x:c>
      <x:c r="C961" s="17" t="str">
        <x:f>IF(A961="","",Students!G961)</x:f>
      </x:c>
      <x:c r="D961" s="17" t="str">
        <x:f>IF(A961="","",Students!H961)</x:f>
      </x:c>
      <x:c r="E961" s="22" t="str">
        <x:f>IF(A961="","",COUNTIFS(Late_Transactions!E:E,A961,Late_Transactions!K:K,"Recorded"))</x:f>
      </x:c>
      <x:c r="F961" s="21" t="n">
        <x:f>IFERROR(MAXIFS(Late_Transactions!C:C,Late_Transactions!E:E,A961,Late_Transactions!K:K,"Recorded"),"")</x:f>
        <x:v>0</x:v>
      </x:c>
      <x:c r="G961" s="17" t="str">
        <x:f>IF(E961="","",IF(E961&gt;=5,"High",IF(E961&gt;=3,"Watch","OK")))</x:f>
      </x:c>
    </x:row>
    <x:row r="962">
      <x:c r="A962" s="17" t="str">
        <x:f>IF(Students!A962="","",Students!A962)</x:f>
      </x:c>
      <x:c r="B962" s="17" t="str">
        <x:f>IF(A962="","",Students!F962)</x:f>
      </x:c>
      <x:c r="C962" s="17" t="str">
        <x:f>IF(A962="","",Students!G962)</x:f>
      </x:c>
      <x:c r="D962" s="17" t="str">
        <x:f>IF(A962="","",Students!H962)</x:f>
      </x:c>
      <x:c r="E962" s="22" t="str">
        <x:f>IF(A962="","",COUNTIFS(Late_Transactions!E:E,A962,Late_Transactions!K:K,"Recorded"))</x:f>
      </x:c>
      <x:c r="F962" s="21" t="n">
        <x:f>IFERROR(MAXIFS(Late_Transactions!C:C,Late_Transactions!E:E,A962,Late_Transactions!K:K,"Recorded"),"")</x:f>
        <x:v>0</x:v>
      </x:c>
      <x:c r="G962" s="17" t="str">
        <x:f>IF(E962="","",IF(E962&gt;=5,"High",IF(E962&gt;=3,"Watch","OK")))</x:f>
      </x:c>
    </x:row>
    <x:row r="963">
      <x:c r="A963" s="17" t="str">
        <x:f>IF(Students!A963="","",Students!A963)</x:f>
      </x:c>
      <x:c r="B963" s="17" t="str">
        <x:f>IF(A963="","",Students!F963)</x:f>
      </x:c>
      <x:c r="C963" s="17" t="str">
        <x:f>IF(A963="","",Students!G963)</x:f>
      </x:c>
      <x:c r="D963" s="17" t="str">
        <x:f>IF(A963="","",Students!H963)</x:f>
      </x:c>
      <x:c r="E963" s="22" t="str">
        <x:f>IF(A963="","",COUNTIFS(Late_Transactions!E:E,A963,Late_Transactions!K:K,"Recorded"))</x:f>
      </x:c>
      <x:c r="F963" s="21" t="n">
        <x:f>IFERROR(MAXIFS(Late_Transactions!C:C,Late_Transactions!E:E,A963,Late_Transactions!K:K,"Recorded"),"")</x:f>
        <x:v>0</x:v>
      </x:c>
      <x:c r="G963" s="17" t="str">
        <x:f>IF(E963="","",IF(E963&gt;=5,"High",IF(E963&gt;=3,"Watch","OK")))</x:f>
      </x:c>
    </x:row>
    <x:row r="964">
      <x:c r="A964" s="17" t="str">
        <x:f>IF(Students!A964="","",Students!A964)</x:f>
      </x:c>
      <x:c r="B964" s="17" t="str">
        <x:f>IF(A964="","",Students!F964)</x:f>
      </x:c>
      <x:c r="C964" s="17" t="str">
        <x:f>IF(A964="","",Students!G964)</x:f>
      </x:c>
      <x:c r="D964" s="17" t="str">
        <x:f>IF(A964="","",Students!H964)</x:f>
      </x:c>
      <x:c r="E964" s="22" t="str">
        <x:f>IF(A964="","",COUNTIFS(Late_Transactions!E:E,A964,Late_Transactions!K:K,"Recorded"))</x:f>
      </x:c>
      <x:c r="F964" s="21" t="n">
        <x:f>IFERROR(MAXIFS(Late_Transactions!C:C,Late_Transactions!E:E,A964,Late_Transactions!K:K,"Recorded"),"")</x:f>
        <x:v>0</x:v>
      </x:c>
      <x:c r="G964" s="17" t="str">
        <x:f>IF(E964="","",IF(E964&gt;=5,"High",IF(E964&gt;=3,"Watch","OK")))</x:f>
      </x:c>
    </x:row>
    <x:row r="965">
      <x:c r="A965" s="17" t="str">
        <x:f>IF(Students!A965="","",Students!A965)</x:f>
      </x:c>
      <x:c r="B965" s="17" t="str">
        <x:f>IF(A965="","",Students!F965)</x:f>
      </x:c>
      <x:c r="C965" s="17" t="str">
        <x:f>IF(A965="","",Students!G965)</x:f>
      </x:c>
      <x:c r="D965" s="17" t="str">
        <x:f>IF(A965="","",Students!H965)</x:f>
      </x:c>
      <x:c r="E965" s="22" t="str">
        <x:f>IF(A965="","",COUNTIFS(Late_Transactions!E:E,A965,Late_Transactions!K:K,"Recorded"))</x:f>
      </x:c>
      <x:c r="F965" s="21" t="n">
        <x:f>IFERROR(MAXIFS(Late_Transactions!C:C,Late_Transactions!E:E,A965,Late_Transactions!K:K,"Recorded"),"")</x:f>
        <x:v>0</x:v>
      </x:c>
      <x:c r="G965" s="17" t="str">
        <x:f>IF(E965="","",IF(E965&gt;=5,"High",IF(E965&gt;=3,"Watch","OK")))</x:f>
      </x:c>
    </x:row>
    <x:row r="966">
      <x:c r="A966" s="17" t="str">
        <x:f>IF(Students!A966="","",Students!A966)</x:f>
      </x:c>
      <x:c r="B966" s="17" t="str">
        <x:f>IF(A966="","",Students!F966)</x:f>
      </x:c>
      <x:c r="C966" s="17" t="str">
        <x:f>IF(A966="","",Students!G966)</x:f>
      </x:c>
      <x:c r="D966" s="17" t="str">
        <x:f>IF(A966="","",Students!H966)</x:f>
      </x:c>
      <x:c r="E966" s="22" t="str">
        <x:f>IF(A966="","",COUNTIFS(Late_Transactions!E:E,A966,Late_Transactions!K:K,"Recorded"))</x:f>
      </x:c>
      <x:c r="F966" s="21" t="n">
        <x:f>IFERROR(MAXIFS(Late_Transactions!C:C,Late_Transactions!E:E,A966,Late_Transactions!K:K,"Recorded"),"")</x:f>
        <x:v>0</x:v>
      </x:c>
      <x:c r="G966" s="17" t="str">
        <x:f>IF(E966="","",IF(E966&gt;=5,"High",IF(E966&gt;=3,"Watch","OK")))</x:f>
      </x:c>
    </x:row>
    <x:row r="967">
      <x:c r="A967" s="17" t="str">
        <x:f>IF(Students!A967="","",Students!A967)</x:f>
      </x:c>
      <x:c r="B967" s="17" t="str">
        <x:f>IF(A967="","",Students!F967)</x:f>
      </x:c>
      <x:c r="C967" s="17" t="str">
        <x:f>IF(A967="","",Students!G967)</x:f>
      </x:c>
      <x:c r="D967" s="17" t="str">
        <x:f>IF(A967="","",Students!H967)</x:f>
      </x:c>
      <x:c r="E967" s="22" t="str">
        <x:f>IF(A967="","",COUNTIFS(Late_Transactions!E:E,A967,Late_Transactions!K:K,"Recorded"))</x:f>
      </x:c>
      <x:c r="F967" s="21" t="n">
        <x:f>IFERROR(MAXIFS(Late_Transactions!C:C,Late_Transactions!E:E,A967,Late_Transactions!K:K,"Recorded"),"")</x:f>
        <x:v>0</x:v>
      </x:c>
      <x:c r="G967" s="17" t="str">
        <x:f>IF(E967="","",IF(E967&gt;=5,"High",IF(E967&gt;=3,"Watch","OK")))</x:f>
      </x:c>
    </x:row>
    <x:row r="968">
      <x:c r="A968" s="17" t="str">
        <x:f>IF(Students!A968="","",Students!A968)</x:f>
      </x:c>
      <x:c r="B968" s="17" t="str">
        <x:f>IF(A968="","",Students!F968)</x:f>
      </x:c>
      <x:c r="C968" s="17" t="str">
        <x:f>IF(A968="","",Students!G968)</x:f>
      </x:c>
      <x:c r="D968" s="17" t="str">
        <x:f>IF(A968="","",Students!H968)</x:f>
      </x:c>
      <x:c r="E968" s="22" t="str">
        <x:f>IF(A968="","",COUNTIFS(Late_Transactions!E:E,A968,Late_Transactions!K:K,"Recorded"))</x:f>
      </x:c>
      <x:c r="F968" s="21" t="n">
        <x:f>IFERROR(MAXIFS(Late_Transactions!C:C,Late_Transactions!E:E,A968,Late_Transactions!K:K,"Recorded"),"")</x:f>
        <x:v>0</x:v>
      </x:c>
      <x:c r="G968" s="17" t="str">
        <x:f>IF(E968="","",IF(E968&gt;=5,"High",IF(E968&gt;=3,"Watch","OK")))</x:f>
      </x:c>
    </x:row>
    <x:row r="969">
      <x:c r="A969" s="17" t="str">
        <x:f>IF(Students!A969="","",Students!A969)</x:f>
      </x:c>
      <x:c r="B969" s="17" t="str">
        <x:f>IF(A969="","",Students!F969)</x:f>
      </x:c>
      <x:c r="C969" s="17" t="str">
        <x:f>IF(A969="","",Students!G969)</x:f>
      </x:c>
      <x:c r="D969" s="17" t="str">
        <x:f>IF(A969="","",Students!H969)</x:f>
      </x:c>
      <x:c r="E969" s="22" t="str">
        <x:f>IF(A969="","",COUNTIFS(Late_Transactions!E:E,A969,Late_Transactions!K:K,"Recorded"))</x:f>
      </x:c>
      <x:c r="F969" s="21" t="n">
        <x:f>IFERROR(MAXIFS(Late_Transactions!C:C,Late_Transactions!E:E,A969,Late_Transactions!K:K,"Recorded"),"")</x:f>
        <x:v>0</x:v>
      </x:c>
      <x:c r="G969" s="17" t="str">
        <x:f>IF(E969="","",IF(E969&gt;=5,"High",IF(E969&gt;=3,"Watch","OK")))</x:f>
      </x:c>
    </x:row>
    <x:row r="970">
      <x:c r="A970" s="17" t="str">
        <x:f>IF(Students!A970="","",Students!A970)</x:f>
      </x:c>
      <x:c r="B970" s="17" t="str">
        <x:f>IF(A970="","",Students!F970)</x:f>
      </x:c>
      <x:c r="C970" s="17" t="str">
        <x:f>IF(A970="","",Students!G970)</x:f>
      </x:c>
      <x:c r="D970" s="17" t="str">
        <x:f>IF(A970="","",Students!H970)</x:f>
      </x:c>
      <x:c r="E970" s="22" t="str">
        <x:f>IF(A970="","",COUNTIFS(Late_Transactions!E:E,A970,Late_Transactions!K:K,"Recorded"))</x:f>
      </x:c>
      <x:c r="F970" s="21" t="n">
        <x:f>IFERROR(MAXIFS(Late_Transactions!C:C,Late_Transactions!E:E,A970,Late_Transactions!K:K,"Recorded"),"")</x:f>
        <x:v>0</x:v>
      </x:c>
      <x:c r="G970" s="17" t="str">
        <x:f>IF(E970="","",IF(E970&gt;=5,"High",IF(E970&gt;=3,"Watch","OK")))</x:f>
      </x:c>
    </x:row>
    <x:row r="971">
      <x:c r="A971" s="17" t="str">
        <x:f>IF(Students!A971="","",Students!A971)</x:f>
      </x:c>
      <x:c r="B971" s="17" t="str">
        <x:f>IF(A971="","",Students!F971)</x:f>
      </x:c>
      <x:c r="C971" s="17" t="str">
        <x:f>IF(A971="","",Students!G971)</x:f>
      </x:c>
      <x:c r="D971" s="17" t="str">
        <x:f>IF(A971="","",Students!H971)</x:f>
      </x:c>
      <x:c r="E971" s="22" t="str">
        <x:f>IF(A971="","",COUNTIFS(Late_Transactions!E:E,A971,Late_Transactions!K:K,"Recorded"))</x:f>
      </x:c>
      <x:c r="F971" s="21" t="n">
        <x:f>IFERROR(MAXIFS(Late_Transactions!C:C,Late_Transactions!E:E,A971,Late_Transactions!K:K,"Recorded"),"")</x:f>
        <x:v>0</x:v>
      </x:c>
      <x:c r="G971" s="17" t="str">
        <x:f>IF(E971="","",IF(E971&gt;=5,"High",IF(E971&gt;=3,"Watch","OK")))</x:f>
      </x:c>
    </x:row>
    <x:row r="972">
      <x:c r="A972" s="17" t="str">
        <x:f>IF(Students!A972="","",Students!A972)</x:f>
      </x:c>
      <x:c r="B972" s="17" t="str">
        <x:f>IF(A972="","",Students!F972)</x:f>
      </x:c>
      <x:c r="C972" s="17" t="str">
        <x:f>IF(A972="","",Students!G972)</x:f>
      </x:c>
      <x:c r="D972" s="17" t="str">
        <x:f>IF(A972="","",Students!H972)</x:f>
      </x:c>
      <x:c r="E972" s="22" t="str">
        <x:f>IF(A972="","",COUNTIFS(Late_Transactions!E:E,A972,Late_Transactions!K:K,"Recorded"))</x:f>
      </x:c>
      <x:c r="F972" s="21" t="n">
        <x:f>IFERROR(MAXIFS(Late_Transactions!C:C,Late_Transactions!E:E,A972,Late_Transactions!K:K,"Recorded"),"")</x:f>
        <x:v>0</x:v>
      </x:c>
      <x:c r="G972" s="17" t="str">
        <x:f>IF(E972="","",IF(E972&gt;=5,"High",IF(E972&gt;=3,"Watch","OK")))</x:f>
      </x:c>
    </x:row>
    <x:row r="973">
      <x:c r="A973" s="17" t="str">
        <x:f>IF(Students!A973="","",Students!A973)</x:f>
      </x:c>
      <x:c r="B973" s="17" t="str">
        <x:f>IF(A973="","",Students!F973)</x:f>
      </x:c>
      <x:c r="C973" s="17" t="str">
        <x:f>IF(A973="","",Students!G973)</x:f>
      </x:c>
      <x:c r="D973" s="17" t="str">
        <x:f>IF(A973="","",Students!H973)</x:f>
      </x:c>
      <x:c r="E973" s="22" t="str">
        <x:f>IF(A973="","",COUNTIFS(Late_Transactions!E:E,A973,Late_Transactions!K:K,"Recorded"))</x:f>
      </x:c>
      <x:c r="F973" s="21" t="n">
        <x:f>IFERROR(MAXIFS(Late_Transactions!C:C,Late_Transactions!E:E,A973,Late_Transactions!K:K,"Recorded"),"")</x:f>
        <x:v>0</x:v>
      </x:c>
      <x:c r="G973" s="17" t="str">
        <x:f>IF(E973="","",IF(E973&gt;=5,"High",IF(E973&gt;=3,"Watch","OK")))</x:f>
      </x:c>
    </x:row>
    <x:row r="974">
      <x:c r="A974" s="17" t="str">
        <x:f>IF(Students!A974="","",Students!A974)</x:f>
      </x:c>
      <x:c r="B974" s="17" t="str">
        <x:f>IF(A974="","",Students!F974)</x:f>
      </x:c>
      <x:c r="C974" s="17" t="str">
        <x:f>IF(A974="","",Students!G974)</x:f>
      </x:c>
      <x:c r="D974" s="17" t="str">
        <x:f>IF(A974="","",Students!H974)</x:f>
      </x:c>
      <x:c r="E974" s="22" t="str">
        <x:f>IF(A974="","",COUNTIFS(Late_Transactions!E:E,A974,Late_Transactions!K:K,"Recorded"))</x:f>
      </x:c>
      <x:c r="F974" s="21" t="n">
        <x:f>IFERROR(MAXIFS(Late_Transactions!C:C,Late_Transactions!E:E,A974,Late_Transactions!K:K,"Recorded"),"")</x:f>
        <x:v>0</x:v>
      </x:c>
      <x:c r="G974" s="17" t="str">
        <x:f>IF(E974="","",IF(E974&gt;=5,"High",IF(E974&gt;=3,"Watch","OK")))</x:f>
      </x:c>
    </x:row>
    <x:row r="975">
      <x:c r="A975" s="17" t="str">
        <x:f>IF(Students!A975="","",Students!A975)</x:f>
      </x:c>
      <x:c r="B975" s="17" t="str">
        <x:f>IF(A975="","",Students!F975)</x:f>
      </x:c>
      <x:c r="C975" s="17" t="str">
        <x:f>IF(A975="","",Students!G975)</x:f>
      </x:c>
      <x:c r="D975" s="17" t="str">
        <x:f>IF(A975="","",Students!H975)</x:f>
      </x:c>
      <x:c r="E975" s="22" t="str">
        <x:f>IF(A975="","",COUNTIFS(Late_Transactions!E:E,A975,Late_Transactions!K:K,"Recorded"))</x:f>
      </x:c>
      <x:c r="F975" s="21" t="n">
        <x:f>IFERROR(MAXIFS(Late_Transactions!C:C,Late_Transactions!E:E,A975,Late_Transactions!K:K,"Recorded"),"")</x:f>
        <x:v>0</x:v>
      </x:c>
      <x:c r="G975" s="17" t="str">
        <x:f>IF(E975="","",IF(E975&gt;=5,"High",IF(E975&gt;=3,"Watch","OK")))</x:f>
      </x:c>
    </x:row>
    <x:row r="976">
      <x:c r="A976" s="17" t="str">
        <x:f>IF(Students!A976="","",Students!A976)</x:f>
      </x:c>
      <x:c r="B976" s="17" t="str">
        <x:f>IF(A976="","",Students!F976)</x:f>
      </x:c>
      <x:c r="C976" s="17" t="str">
        <x:f>IF(A976="","",Students!G976)</x:f>
      </x:c>
      <x:c r="D976" s="17" t="str">
        <x:f>IF(A976="","",Students!H976)</x:f>
      </x:c>
      <x:c r="E976" s="22" t="str">
        <x:f>IF(A976="","",COUNTIFS(Late_Transactions!E:E,A976,Late_Transactions!K:K,"Recorded"))</x:f>
      </x:c>
      <x:c r="F976" s="21" t="n">
        <x:f>IFERROR(MAXIFS(Late_Transactions!C:C,Late_Transactions!E:E,A976,Late_Transactions!K:K,"Recorded"),"")</x:f>
        <x:v>0</x:v>
      </x:c>
      <x:c r="G976" s="17" t="str">
        <x:f>IF(E976="","",IF(E976&gt;=5,"High",IF(E976&gt;=3,"Watch","OK")))</x:f>
      </x:c>
    </x:row>
    <x:row r="977">
      <x:c r="A977" s="17" t="str">
        <x:f>IF(Students!A977="","",Students!A977)</x:f>
      </x:c>
      <x:c r="B977" s="17" t="str">
        <x:f>IF(A977="","",Students!F977)</x:f>
      </x:c>
      <x:c r="C977" s="17" t="str">
        <x:f>IF(A977="","",Students!G977)</x:f>
      </x:c>
      <x:c r="D977" s="17" t="str">
        <x:f>IF(A977="","",Students!H977)</x:f>
      </x:c>
      <x:c r="E977" s="22" t="str">
        <x:f>IF(A977="","",COUNTIFS(Late_Transactions!E:E,A977,Late_Transactions!K:K,"Recorded"))</x:f>
      </x:c>
      <x:c r="F977" s="21" t="n">
        <x:f>IFERROR(MAXIFS(Late_Transactions!C:C,Late_Transactions!E:E,A977,Late_Transactions!K:K,"Recorded"),"")</x:f>
        <x:v>0</x:v>
      </x:c>
      <x:c r="G977" s="17" t="str">
        <x:f>IF(E977="","",IF(E977&gt;=5,"High",IF(E977&gt;=3,"Watch","OK")))</x:f>
      </x:c>
    </x:row>
    <x:row r="978">
      <x:c r="A978" s="17" t="str">
        <x:f>IF(Students!A978="","",Students!A978)</x:f>
      </x:c>
      <x:c r="B978" s="17" t="str">
        <x:f>IF(A978="","",Students!F978)</x:f>
      </x:c>
      <x:c r="C978" s="17" t="str">
        <x:f>IF(A978="","",Students!G978)</x:f>
      </x:c>
      <x:c r="D978" s="17" t="str">
        <x:f>IF(A978="","",Students!H978)</x:f>
      </x:c>
      <x:c r="E978" s="22" t="str">
        <x:f>IF(A978="","",COUNTIFS(Late_Transactions!E:E,A978,Late_Transactions!K:K,"Recorded"))</x:f>
      </x:c>
      <x:c r="F978" s="21" t="n">
        <x:f>IFERROR(MAXIFS(Late_Transactions!C:C,Late_Transactions!E:E,A978,Late_Transactions!K:K,"Recorded"),"")</x:f>
        <x:v>0</x:v>
      </x:c>
      <x:c r="G978" s="17" t="str">
        <x:f>IF(E978="","",IF(E978&gt;=5,"High",IF(E978&gt;=3,"Watch","OK")))</x:f>
      </x:c>
    </x:row>
    <x:row r="979">
      <x:c r="A979" s="17" t="str">
        <x:f>IF(Students!A979="","",Students!A979)</x:f>
      </x:c>
      <x:c r="B979" s="17" t="str">
        <x:f>IF(A979="","",Students!F979)</x:f>
      </x:c>
      <x:c r="C979" s="17" t="str">
        <x:f>IF(A979="","",Students!G979)</x:f>
      </x:c>
      <x:c r="D979" s="17" t="str">
        <x:f>IF(A979="","",Students!H979)</x:f>
      </x:c>
      <x:c r="E979" s="22" t="str">
        <x:f>IF(A979="","",COUNTIFS(Late_Transactions!E:E,A979,Late_Transactions!K:K,"Recorded"))</x:f>
      </x:c>
      <x:c r="F979" s="21" t="n">
        <x:f>IFERROR(MAXIFS(Late_Transactions!C:C,Late_Transactions!E:E,A979,Late_Transactions!K:K,"Recorded"),"")</x:f>
        <x:v>0</x:v>
      </x:c>
      <x:c r="G979" s="17" t="str">
        <x:f>IF(E979="","",IF(E979&gt;=5,"High",IF(E979&gt;=3,"Watch","OK")))</x:f>
      </x:c>
    </x:row>
    <x:row r="980">
      <x:c r="A980" s="17" t="str">
        <x:f>IF(Students!A980="","",Students!A980)</x:f>
      </x:c>
      <x:c r="B980" s="17" t="str">
        <x:f>IF(A980="","",Students!F980)</x:f>
      </x:c>
      <x:c r="C980" s="17" t="str">
        <x:f>IF(A980="","",Students!G980)</x:f>
      </x:c>
      <x:c r="D980" s="17" t="str">
        <x:f>IF(A980="","",Students!H980)</x:f>
      </x:c>
      <x:c r="E980" s="22" t="str">
        <x:f>IF(A980="","",COUNTIFS(Late_Transactions!E:E,A980,Late_Transactions!K:K,"Recorded"))</x:f>
      </x:c>
      <x:c r="F980" s="21" t="n">
        <x:f>IFERROR(MAXIFS(Late_Transactions!C:C,Late_Transactions!E:E,A980,Late_Transactions!K:K,"Recorded"),"")</x:f>
        <x:v>0</x:v>
      </x:c>
      <x:c r="G980" s="17" t="str">
        <x:f>IF(E980="","",IF(E980&gt;=5,"High",IF(E980&gt;=3,"Watch","OK")))</x:f>
      </x:c>
    </x:row>
    <x:row r="981">
      <x:c r="A981" s="17" t="str">
        <x:f>IF(Students!A981="","",Students!A981)</x:f>
      </x:c>
      <x:c r="B981" s="17" t="str">
        <x:f>IF(A981="","",Students!F981)</x:f>
      </x:c>
      <x:c r="C981" s="17" t="str">
        <x:f>IF(A981="","",Students!G981)</x:f>
      </x:c>
      <x:c r="D981" s="17" t="str">
        <x:f>IF(A981="","",Students!H981)</x:f>
      </x:c>
      <x:c r="E981" s="22" t="str">
        <x:f>IF(A981="","",COUNTIFS(Late_Transactions!E:E,A981,Late_Transactions!K:K,"Recorded"))</x:f>
      </x:c>
      <x:c r="F981" s="21" t="n">
        <x:f>IFERROR(MAXIFS(Late_Transactions!C:C,Late_Transactions!E:E,A981,Late_Transactions!K:K,"Recorded"),"")</x:f>
        <x:v>0</x:v>
      </x:c>
      <x:c r="G981" s="17" t="str">
        <x:f>IF(E981="","",IF(E981&gt;=5,"High",IF(E981&gt;=3,"Watch","OK")))</x:f>
      </x:c>
    </x:row>
    <x:row r="982">
      <x:c r="A982" s="17" t="str">
        <x:f>IF(Students!A982="","",Students!A982)</x:f>
      </x:c>
      <x:c r="B982" s="17" t="str">
        <x:f>IF(A982="","",Students!F982)</x:f>
      </x:c>
      <x:c r="C982" s="17" t="str">
        <x:f>IF(A982="","",Students!G982)</x:f>
      </x:c>
      <x:c r="D982" s="17" t="str">
        <x:f>IF(A982="","",Students!H982)</x:f>
      </x:c>
      <x:c r="E982" s="22" t="str">
        <x:f>IF(A982="","",COUNTIFS(Late_Transactions!E:E,A982,Late_Transactions!K:K,"Recorded"))</x:f>
      </x:c>
      <x:c r="F982" s="21" t="n">
        <x:f>IFERROR(MAXIFS(Late_Transactions!C:C,Late_Transactions!E:E,A982,Late_Transactions!K:K,"Recorded"),"")</x:f>
        <x:v>0</x:v>
      </x:c>
      <x:c r="G982" s="17" t="str">
        <x:f>IF(E982="","",IF(E982&gt;=5,"High",IF(E982&gt;=3,"Watch","OK")))</x:f>
      </x:c>
    </x:row>
    <x:row r="983">
      <x:c r="A983" s="17" t="str">
        <x:f>IF(Students!A983="","",Students!A983)</x:f>
      </x:c>
      <x:c r="B983" s="17" t="str">
        <x:f>IF(A983="","",Students!F983)</x:f>
      </x:c>
      <x:c r="C983" s="17" t="str">
        <x:f>IF(A983="","",Students!G983)</x:f>
      </x:c>
      <x:c r="D983" s="17" t="str">
        <x:f>IF(A983="","",Students!H983)</x:f>
      </x:c>
      <x:c r="E983" s="22" t="str">
        <x:f>IF(A983="","",COUNTIFS(Late_Transactions!E:E,A983,Late_Transactions!K:K,"Recorded"))</x:f>
      </x:c>
      <x:c r="F983" s="21" t="n">
        <x:f>IFERROR(MAXIFS(Late_Transactions!C:C,Late_Transactions!E:E,A983,Late_Transactions!K:K,"Recorded"),"")</x:f>
        <x:v>0</x:v>
      </x:c>
      <x:c r="G983" s="17" t="str">
        <x:f>IF(E983="","",IF(E983&gt;=5,"High",IF(E983&gt;=3,"Watch","OK")))</x:f>
      </x:c>
    </x:row>
    <x:row r="984">
      <x:c r="A984" s="17" t="str">
        <x:f>IF(Students!A984="","",Students!A984)</x:f>
      </x:c>
      <x:c r="B984" s="17" t="str">
        <x:f>IF(A984="","",Students!F984)</x:f>
      </x:c>
      <x:c r="C984" s="17" t="str">
        <x:f>IF(A984="","",Students!G984)</x:f>
      </x:c>
      <x:c r="D984" s="17" t="str">
        <x:f>IF(A984="","",Students!H984)</x:f>
      </x:c>
      <x:c r="E984" s="22" t="str">
        <x:f>IF(A984="","",COUNTIFS(Late_Transactions!E:E,A984,Late_Transactions!K:K,"Recorded"))</x:f>
      </x:c>
      <x:c r="F984" s="21" t="n">
        <x:f>IFERROR(MAXIFS(Late_Transactions!C:C,Late_Transactions!E:E,A984,Late_Transactions!K:K,"Recorded"),"")</x:f>
        <x:v>0</x:v>
      </x:c>
      <x:c r="G984" s="17" t="str">
        <x:f>IF(E984="","",IF(E984&gt;=5,"High",IF(E984&gt;=3,"Watch","OK")))</x:f>
      </x:c>
    </x:row>
    <x:row r="985">
      <x:c r="A985" s="17" t="str">
        <x:f>IF(Students!A985="","",Students!A985)</x:f>
      </x:c>
      <x:c r="B985" s="17" t="str">
        <x:f>IF(A985="","",Students!F985)</x:f>
      </x:c>
      <x:c r="C985" s="17" t="str">
        <x:f>IF(A985="","",Students!G985)</x:f>
      </x:c>
      <x:c r="D985" s="17" t="str">
        <x:f>IF(A985="","",Students!H985)</x:f>
      </x:c>
      <x:c r="E985" s="22" t="str">
        <x:f>IF(A985="","",COUNTIFS(Late_Transactions!E:E,A985,Late_Transactions!K:K,"Recorded"))</x:f>
      </x:c>
      <x:c r="F985" s="21" t="n">
        <x:f>IFERROR(MAXIFS(Late_Transactions!C:C,Late_Transactions!E:E,A985,Late_Transactions!K:K,"Recorded"),"")</x:f>
        <x:v>0</x:v>
      </x:c>
      <x:c r="G985" s="17" t="str">
        <x:f>IF(E985="","",IF(E985&gt;=5,"High",IF(E985&gt;=3,"Watch","OK")))</x:f>
      </x:c>
    </x:row>
    <x:row r="986">
      <x:c r="A986" s="17" t="str">
        <x:f>IF(Students!A986="","",Students!A986)</x:f>
      </x:c>
      <x:c r="B986" s="17" t="str">
        <x:f>IF(A986="","",Students!F986)</x:f>
      </x:c>
      <x:c r="C986" s="17" t="str">
        <x:f>IF(A986="","",Students!G986)</x:f>
      </x:c>
      <x:c r="D986" s="17" t="str">
        <x:f>IF(A986="","",Students!H986)</x:f>
      </x:c>
      <x:c r="E986" s="22" t="str">
        <x:f>IF(A986="","",COUNTIFS(Late_Transactions!E:E,A986,Late_Transactions!K:K,"Recorded"))</x:f>
      </x:c>
      <x:c r="F986" s="21" t="n">
        <x:f>IFERROR(MAXIFS(Late_Transactions!C:C,Late_Transactions!E:E,A986,Late_Transactions!K:K,"Recorded"),"")</x:f>
        <x:v>0</x:v>
      </x:c>
      <x:c r="G986" s="17" t="str">
        <x:f>IF(E986="","",IF(E986&gt;=5,"High",IF(E986&gt;=3,"Watch","OK")))</x:f>
      </x:c>
    </x:row>
    <x:row r="987">
      <x:c r="A987" s="17" t="str">
        <x:f>IF(Students!A987="","",Students!A987)</x:f>
      </x:c>
      <x:c r="B987" s="17" t="str">
        <x:f>IF(A987="","",Students!F987)</x:f>
      </x:c>
      <x:c r="C987" s="17" t="str">
        <x:f>IF(A987="","",Students!G987)</x:f>
      </x:c>
      <x:c r="D987" s="17" t="str">
        <x:f>IF(A987="","",Students!H987)</x:f>
      </x:c>
      <x:c r="E987" s="22" t="str">
        <x:f>IF(A987="","",COUNTIFS(Late_Transactions!E:E,A987,Late_Transactions!K:K,"Recorded"))</x:f>
      </x:c>
      <x:c r="F987" s="21" t="n">
        <x:f>IFERROR(MAXIFS(Late_Transactions!C:C,Late_Transactions!E:E,A987,Late_Transactions!K:K,"Recorded"),"")</x:f>
        <x:v>0</x:v>
      </x:c>
      <x:c r="G987" s="17" t="str">
        <x:f>IF(E987="","",IF(E987&gt;=5,"High",IF(E987&gt;=3,"Watch","OK")))</x:f>
      </x:c>
    </x:row>
    <x:row r="988">
      <x:c r="A988" s="17" t="str">
        <x:f>IF(Students!A988="","",Students!A988)</x:f>
      </x:c>
      <x:c r="B988" s="17" t="str">
        <x:f>IF(A988="","",Students!F988)</x:f>
      </x:c>
      <x:c r="C988" s="17" t="str">
        <x:f>IF(A988="","",Students!G988)</x:f>
      </x:c>
      <x:c r="D988" s="17" t="str">
        <x:f>IF(A988="","",Students!H988)</x:f>
      </x:c>
      <x:c r="E988" s="22" t="str">
        <x:f>IF(A988="","",COUNTIFS(Late_Transactions!E:E,A988,Late_Transactions!K:K,"Recorded"))</x:f>
      </x:c>
      <x:c r="F988" s="21" t="n">
        <x:f>IFERROR(MAXIFS(Late_Transactions!C:C,Late_Transactions!E:E,A988,Late_Transactions!K:K,"Recorded"),"")</x:f>
        <x:v>0</x:v>
      </x:c>
      <x:c r="G988" s="17" t="str">
        <x:f>IF(E988="","",IF(E988&gt;=5,"High",IF(E988&gt;=3,"Watch","OK")))</x:f>
      </x:c>
    </x:row>
    <x:row r="989">
      <x:c r="A989" s="17" t="str">
        <x:f>IF(Students!A989="","",Students!A989)</x:f>
      </x:c>
      <x:c r="B989" s="17" t="str">
        <x:f>IF(A989="","",Students!F989)</x:f>
      </x:c>
      <x:c r="C989" s="17" t="str">
        <x:f>IF(A989="","",Students!G989)</x:f>
      </x:c>
      <x:c r="D989" s="17" t="str">
        <x:f>IF(A989="","",Students!H989)</x:f>
      </x:c>
      <x:c r="E989" s="22" t="str">
        <x:f>IF(A989="","",COUNTIFS(Late_Transactions!E:E,A989,Late_Transactions!K:K,"Recorded"))</x:f>
      </x:c>
      <x:c r="F989" s="21" t="n">
        <x:f>IFERROR(MAXIFS(Late_Transactions!C:C,Late_Transactions!E:E,A989,Late_Transactions!K:K,"Recorded"),"")</x:f>
        <x:v>0</x:v>
      </x:c>
      <x:c r="G989" s="17" t="str">
        <x:f>IF(E989="","",IF(E989&gt;=5,"High",IF(E989&gt;=3,"Watch","OK")))</x:f>
      </x:c>
    </x:row>
    <x:row r="990">
      <x:c r="A990" s="17" t="str">
        <x:f>IF(Students!A990="","",Students!A990)</x:f>
      </x:c>
      <x:c r="B990" s="17" t="str">
        <x:f>IF(A990="","",Students!F990)</x:f>
      </x:c>
      <x:c r="C990" s="17" t="str">
        <x:f>IF(A990="","",Students!G990)</x:f>
      </x:c>
      <x:c r="D990" s="17" t="str">
        <x:f>IF(A990="","",Students!H990)</x:f>
      </x:c>
      <x:c r="E990" s="22" t="str">
        <x:f>IF(A990="","",COUNTIFS(Late_Transactions!E:E,A990,Late_Transactions!K:K,"Recorded"))</x:f>
      </x:c>
      <x:c r="F990" s="21" t="n">
        <x:f>IFERROR(MAXIFS(Late_Transactions!C:C,Late_Transactions!E:E,A990,Late_Transactions!K:K,"Recorded"),"")</x:f>
        <x:v>0</x:v>
      </x:c>
      <x:c r="G990" s="17" t="str">
        <x:f>IF(E990="","",IF(E990&gt;=5,"High",IF(E990&gt;=3,"Watch","OK")))</x:f>
      </x:c>
    </x:row>
    <x:row r="991">
      <x:c r="A991" s="17" t="str">
        <x:f>IF(Students!A991="","",Students!A991)</x:f>
      </x:c>
      <x:c r="B991" s="17" t="str">
        <x:f>IF(A991="","",Students!F991)</x:f>
      </x:c>
      <x:c r="C991" s="17" t="str">
        <x:f>IF(A991="","",Students!G991)</x:f>
      </x:c>
      <x:c r="D991" s="17" t="str">
        <x:f>IF(A991="","",Students!H991)</x:f>
      </x:c>
      <x:c r="E991" s="22" t="str">
        <x:f>IF(A991="","",COUNTIFS(Late_Transactions!E:E,A991,Late_Transactions!K:K,"Recorded"))</x:f>
      </x:c>
      <x:c r="F991" s="21" t="n">
        <x:f>IFERROR(MAXIFS(Late_Transactions!C:C,Late_Transactions!E:E,A991,Late_Transactions!K:K,"Recorded"),"")</x:f>
        <x:v>0</x:v>
      </x:c>
      <x:c r="G991" s="17" t="str">
        <x:f>IF(E991="","",IF(E991&gt;=5,"High",IF(E991&gt;=3,"Watch","OK")))</x:f>
      </x:c>
    </x:row>
    <x:row r="992">
      <x:c r="A992" s="17" t="str">
        <x:f>IF(Students!A992="","",Students!A992)</x:f>
      </x:c>
      <x:c r="B992" s="17" t="str">
        <x:f>IF(A992="","",Students!F992)</x:f>
      </x:c>
      <x:c r="C992" s="17" t="str">
        <x:f>IF(A992="","",Students!G992)</x:f>
      </x:c>
      <x:c r="D992" s="17" t="str">
        <x:f>IF(A992="","",Students!H992)</x:f>
      </x:c>
      <x:c r="E992" s="22" t="str">
        <x:f>IF(A992="","",COUNTIFS(Late_Transactions!E:E,A992,Late_Transactions!K:K,"Recorded"))</x:f>
      </x:c>
      <x:c r="F992" s="21" t="n">
        <x:f>IFERROR(MAXIFS(Late_Transactions!C:C,Late_Transactions!E:E,A992,Late_Transactions!K:K,"Recorded"),"")</x:f>
        <x:v>0</x:v>
      </x:c>
      <x:c r="G992" s="17" t="str">
        <x:f>IF(E992="","",IF(E992&gt;=5,"High",IF(E992&gt;=3,"Watch","OK")))</x:f>
      </x:c>
    </x:row>
    <x:row r="993">
      <x:c r="A993" s="17" t="str">
        <x:f>IF(Students!A993="","",Students!A993)</x:f>
      </x:c>
      <x:c r="B993" s="17" t="str">
        <x:f>IF(A993="","",Students!F993)</x:f>
      </x:c>
      <x:c r="C993" s="17" t="str">
        <x:f>IF(A993="","",Students!G993)</x:f>
      </x:c>
      <x:c r="D993" s="17" t="str">
        <x:f>IF(A993="","",Students!H993)</x:f>
      </x:c>
      <x:c r="E993" s="22" t="str">
        <x:f>IF(A993="","",COUNTIFS(Late_Transactions!E:E,A993,Late_Transactions!K:K,"Recorded"))</x:f>
      </x:c>
      <x:c r="F993" s="21" t="n">
        <x:f>IFERROR(MAXIFS(Late_Transactions!C:C,Late_Transactions!E:E,A993,Late_Transactions!K:K,"Recorded"),"")</x:f>
        <x:v>0</x:v>
      </x:c>
      <x:c r="G993" s="17" t="str">
        <x:f>IF(E993="","",IF(E993&gt;=5,"High",IF(E993&gt;=3,"Watch","OK")))</x:f>
      </x:c>
    </x:row>
    <x:row r="994">
      <x:c r="A994" s="17" t="str">
        <x:f>IF(Students!A994="","",Students!A994)</x:f>
      </x:c>
      <x:c r="B994" s="17" t="str">
        <x:f>IF(A994="","",Students!F994)</x:f>
      </x:c>
      <x:c r="C994" s="17" t="str">
        <x:f>IF(A994="","",Students!G994)</x:f>
      </x:c>
      <x:c r="D994" s="17" t="str">
        <x:f>IF(A994="","",Students!H994)</x:f>
      </x:c>
      <x:c r="E994" s="22" t="str">
        <x:f>IF(A994="","",COUNTIFS(Late_Transactions!E:E,A994,Late_Transactions!K:K,"Recorded"))</x:f>
      </x:c>
      <x:c r="F994" s="21" t="n">
        <x:f>IFERROR(MAXIFS(Late_Transactions!C:C,Late_Transactions!E:E,A994,Late_Transactions!K:K,"Recorded"),"")</x:f>
        <x:v>0</x:v>
      </x:c>
      <x:c r="G994" s="17" t="str">
        <x:f>IF(E994="","",IF(E994&gt;=5,"High",IF(E994&gt;=3,"Watch","OK")))</x:f>
      </x:c>
    </x:row>
    <x:row r="995">
      <x:c r="A995" s="17" t="str">
        <x:f>IF(Students!A995="","",Students!A995)</x:f>
      </x:c>
      <x:c r="B995" s="17" t="str">
        <x:f>IF(A995="","",Students!F995)</x:f>
      </x:c>
      <x:c r="C995" s="17" t="str">
        <x:f>IF(A995="","",Students!G995)</x:f>
      </x:c>
      <x:c r="D995" s="17" t="str">
        <x:f>IF(A995="","",Students!H995)</x:f>
      </x:c>
      <x:c r="E995" s="22" t="str">
        <x:f>IF(A995="","",COUNTIFS(Late_Transactions!E:E,A995,Late_Transactions!K:K,"Recorded"))</x:f>
      </x:c>
      <x:c r="F995" s="21" t="n">
        <x:f>IFERROR(MAXIFS(Late_Transactions!C:C,Late_Transactions!E:E,A995,Late_Transactions!K:K,"Recorded"),"")</x:f>
        <x:v>0</x:v>
      </x:c>
      <x:c r="G995" s="17" t="str">
        <x:f>IF(E995="","",IF(E995&gt;=5,"High",IF(E995&gt;=3,"Watch","OK")))</x:f>
      </x:c>
    </x:row>
    <x:row r="996">
      <x:c r="A996" s="17" t="str">
        <x:f>IF(Students!A996="","",Students!A996)</x:f>
      </x:c>
      <x:c r="B996" s="17" t="str">
        <x:f>IF(A996="","",Students!F996)</x:f>
      </x:c>
      <x:c r="C996" s="17" t="str">
        <x:f>IF(A996="","",Students!G996)</x:f>
      </x:c>
      <x:c r="D996" s="17" t="str">
        <x:f>IF(A996="","",Students!H996)</x:f>
      </x:c>
      <x:c r="E996" s="22" t="str">
        <x:f>IF(A996="","",COUNTIFS(Late_Transactions!E:E,A996,Late_Transactions!K:K,"Recorded"))</x:f>
      </x:c>
      <x:c r="F996" s="21" t="n">
        <x:f>IFERROR(MAXIFS(Late_Transactions!C:C,Late_Transactions!E:E,A996,Late_Transactions!K:K,"Recorded"),"")</x:f>
        <x:v>0</x:v>
      </x:c>
      <x:c r="G996" s="17" t="str">
        <x:f>IF(E996="","",IF(E996&gt;=5,"High",IF(E996&gt;=3,"Watch","OK")))</x:f>
      </x:c>
    </x:row>
    <x:row r="997">
      <x:c r="A997" s="17" t="str">
        <x:f>IF(Students!A997="","",Students!A997)</x:f>
      </x:c>
      <x:c r="B997" s="17" t="str">
        <x:f>IF(A997="","",Students!F997)</x:f>
      </x:c>
      <x:c r="C997" s="17" t="str">
        <x:f>IF(A997="","",Students!G997)</x:f>
      </x:c>
      <x:c r="D997" s="17" t="str">
        <x:f>IF(A997="","",Students!H997)</x:f>
      </x:c>
      <x:c r="E997" s="22" t="str">
        <x:f>IF(A997="","",COUNTIFS(Late_Transactions!E:E,A997,Late_Transactions!K:K,"Recorded"))</x:f>
      </x:c>
      <x:c r="F997" s="21" t="n">
        <x:f>IFERROR(MAXIFS(Late_Transactions!C:C,Late_Transactions!E:E,A997,Late_Transactions!K:K,"Recorded"),"")</x:f>
        <x:v>0</x:v>
      </x:c>
      <x:c r="G997" s="17" t="str">
        <x:f>IF(E997="","",IF(E997&gt;=5,"High",IF(E997&gt;=3,"Watch","OK")))</x:f>
      </x:c>
    </x:row>
    <x:row r="998">
      <x:c r="A998" s="17" t="str">
        <x:f>IF(Students!A998="","",Students!A998)</x:f>
      </x:c>
      <x:c r="B998" s="17" t="str">
        <x:f>IF(A998="","",Students!F998)</x:f>
      </x:c>
      <x:c r="C998" s="17" t="str">
        <x:f>IF(A998="","",Students!G998)</x:f>
      </x:c>
      <x:c r="D998" s="17" t="str">
        <x:f>IF(A998="","",Students!H998)</x:f>
      </x:c>
      <x:c r="E998" s="22" t="str">
        <x:f>IF(A998="","",COUNTIFS(Late_Transactions!E:E,A998,Late_Transactions!K:K,"Recorded"))</x:f>
      </x:c>
      <x:c r="F998" s="21" t="n">
        <x:f>IFERROR(MAXIFS(Late_Transactions!C:C,Late_Transactions!E:E,A998,Late_Transactions!K:K,"Recorded"),"")</x:f>
        <x:v>0</x:v>
      </x:c>
      <x:c r="G998" s="17" t="str">
        <x:f>IF(E998="","",IF(E998&gt;=5,"High",IF(E998&gt;=3,"Watch","OK")))</x:f>
      </x:c>
    </x:row>
    <x:row r="999">
      <x:c r="A999" s="17" t="str">
        <x:f>IF(Students!A999="","",Students!A999)</x:f>
      </x:c>
      <x:c r="B999" s="17" t="str">
        <x:f>IF(A999="","",Students!F999)</x:f>
      </x:c>
      <x:c r="C999" s="17" t="str">
        <x:f>IF(A999="","",Students!G999)</x:f>
      </x:c>
      <x:c r="D999" s="17" t="str">
        <x:f>IF(A999="","",Students!H999)</x:f>
      </x:c>
      <x:c r="E999" s="22" t="str">
        <x:f>IF(A999="","",COUNTIFS(Late_Transactions!E:E,A999,Late_Transactions!K:K,"Recorded"))</x:f>
      </x:c>
      <x:c r="F999" s="21" t="n">
        <x:f>IFERROR(MAXIFS(Late_Transactions!C:C,Late_Transactions!E:E,A999,Late_Transactions!K:K,"Recorded"),"")</x:f>
        <x:v>0</x:v>
      </x:c>
      <x:c r="G999" s="17" t="str">
        <x:f>IF(E999="","",IF(E999&gt;=5,"High",IF(E999&gt;=3,"Watch","OK")))</x:f>
      </x:c>
    </x:row>
    <x:row r="1000">
      <x:c r="A1000" s="17" t="str">
        <x:f>IF(Students!A1000="","",Students!A1000)</x:f>
      </x:c>
      <x:c r="B1000" s="17" t="str">
        <x:f>IF(A1000="","",Students!F1000)</x:f>
      </x:c>
      <x:c r="C1000" s="17" t="str">
        <x:f>IF(A1000="","",Students!G1000)</x:f>
      </x:c>
      <x:c r="D1000" s="17" t="str">
        <x:f>IF(A1000="","",Students!H1000)</x:f>
      </x:c>
      <x:c r="E1000" s="22" t="str">
        <x:f>IF(A1000="","",COUNTIFS(Late_Transactions!E:E,A1000,Late_Transactions!K:K,"Recorded"))</x:f>
      </x:c>
      <x:c r="F1000" s="21" t="n">
        <x:f>IFERROR(MAXIFS(Late_Transactions!C:C,Late_Transactions!E:E,A1000,Late_Transactions!K:K,"Recorded"),"")</x:f>
        <x:v>0</x:v>
      </x:c>
      <x:c r="G1000" s="17" t="str">
        <x:f>IF(E1000="","",IF(E1000&gt;=5,"High",IF(E1000&gt;=3,"Watch","OK")))</x:f>
      </x:c>
    </x:row>
    <x:row r="1001">
      <x:c r="A1001" s="17" t="str">
        <x:f>IF(Students!A1001="","",Students!A1001)</x:f>
      </x:c>
      <x:c r="B1001" s="17" t="str">
        <x:f>IF(A1001="","",Students!F1001)</x:f>
      </x:c>
      <x:c r="C1001" s="17" t="str">
        <x:f>IF(A1001="","",Students!G1001)</x:f>
      </x:c>
      <x:c r="D1001" s="17" t="str">
        <x:f>IF(A1001="","",Students!H1001)</x:f>
      </x:c>
      <x:c r="E1001" s="22" t="str">
        <x:f>IF(A1001="","",COUNTIFS(Late_Transactions!E:E,A1001,Late_Transactions!K:K,"Recorded"))</x:f>
      </x:c>
      <x:c r="F1001" s="21" t="n">
        <x:f>IFERROR(MAXIFS(Late_Transactions!C:C,Late_Transactions!E:E,A1001,Late_Transactions!K:K,"Recorded"),"")</x:f>
        <x:v>0</x:v>
      </x:c>
      <x:c r="G1001" s="17" t="str">
        <x:f>IF(E1001="","",IF(E1001&gt;=5,"High",IF(E1001&gt;=3,"Watch","OK")))</x:f>
      </x:c>
    </x:row>
  </x:sheetData>
  <x:conditionalFormatting sqref="G2:G1001">
    <x:cfRule type="containsText" dxfId="0" priority="1" operator="containsText" text="High"/>
    <x:cfRule type="containsText" dxfId="1" priority="2" operator="containsText" text="Watch"/>
    <x:cfRule type="containsText" dxfId="2" priority="3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b8f5f824c1a94e3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3.329999923706055" hidden="0" customWidth="1"/>
    <x:col min="3" max="3" width="11.109999656677246" hidden="0" customWidth="1"/>
    <x:col min="4" max="4" width="15.5600004196167" hidden="0" customWidth="1"/>
    <x:col min="5" max="5" width="14.4399995803833" hidden="0" customWidth="1"/>
  </x:cols>
  <x:sheetData>
    <x:row r="1">
      <x:c r="A1" s="13" t="str">
        <x:v>date</x:v>
      </x:c>
      <x:c r="B1" s="13" t="str">
        <x:v>recorded_late</x:v>
      </x:c>
      <x:c r="C1" s="13" t="str">
        <x:v>duplicate</x:v>
      </x:c>
      <x:c r="D1" s="13" t="str">
        <x:v>student_not_found</x:v>
      </x:c>
      <x:c r="E1" s="13" t="str">
        <x:v>total_submissions</x:v>
      </x:c>
    </x:row>
    <x:row r="2">
      <x:c r="A2" s="21" t="n">
        <x:f>TODAY()-59</x:f>
        <x:v>46117</x:v>
      </x:c>
      <x:c r="B2" s="22" t="n">
        <x:f>COUNTIFS(Late_Transactions!C:C,A2,Late_Transactions!K:K,"Recorded")</x:f>
        <x:v>0</x:v>
      </x:c>
      <x:c r="C2" s="22" t="n">
        <x:f>COUNTIFS(Late_Transactions!C:C,A2,Late_Transactions!K:K,"Duplicate")</x:f>
        <x:v>0</x:v>
      </x:c>
      <x:c r="D2" s="22" t="n">
        <x:f>COUNTIFS(Late_Transactions!C:C,A2,Late_Transactions!K:K,"Student not found")</x:f>
        <x:v>0</x:v>
      </x:c>
      <x:c r="E2" s="22" t="n">
        <x:f>SUM(B2:D2)</x:f>
        <x:v>0</x:v>
      </x:c>
    </x:row>
    <x:row r="3">
      <x:c r="A3" s="21" t="n">
        <x:f>A2+1</x:f>
        <x:v>46118</x:v>
      </x:c>
      <x:c r="B3" s="22" t="n">
        <x:f>COUNTIFS(Late_Transactions!C:C,A3,Late_Transactions!K:K,"Recorded")</x:f>
        <x:v>0</x:v>
      </x:c>
      <x:c r="C3" s="22" t="n">
        <x:f>COUNTIFS(Late_Transactions!C:C,A3,Late_Transactions!K:K,"Duplicate")</x:f>
        <x:v>0</x:v>
      </x:c>
      <x:c r="D3" s="22" t="n">
        <x:f>COUNTIFS(Late_Transactions!C:C,A3,Late_Transactions!K:K,"Student not found")</x:f>
        <x:v>0</x:v>
      </x:c>
      <x:c r="E3" s="22" t="n">
        <x:f>SUM(B3:D3)</x:f>
        <x:v>0</x:v>
      </x:c>
    </x:row>
    <x:row r="4">
      <x:c r="A4" s="21" t="n">
        <x:f>A3+1</x:f>
        <x:v>46119</x:v>
      </x:c>
      <x:c r="B4" s="22" t="n">
        <x:f>COUNTIFS(Late_Transactions!C:C,A4,Late_Transactions!K:K,"Recorded")</x:f>
        <x:v>0</x:v>
      </x:c>
      <x:c r="C4" s="22" t="n">
        <x:f>COUNTIFS(Late_Transactions!C:C,A4,Late_Transactions!K:K,"Duplicate")</x:f>
        <x:v>0</x:v>
      </x:c>
      <x:c r="D4" s="22" t="n">
        <x:f>COUNTIFS(Late_Transactions!C:C,A4,Late_Transactions!K:K,"Student not found")</x:f>
        <x:v>0</x:v>
      </x:c>
      <x:c r="E4" s="22" t="n">
        <x:f>SUM(B4:D4)</x:f>
        <x:v>0</x:v>
      </x:c>
    </x:row>
    <x:row r="5">
      <x:c r="A5" s="21" t="n">
        <x:f>A4+1</x:f>
        <x:v>46120</x:v>
      </x:c>
      <x:c r="B5" s="22" t="n">
        <x:f>COUNTIFS(Late_Transactions!C:C,A5,Late_Transactions!K:K,"Recorded")</x:f>
        <x:v>0</x:v>
      </x:c>
      <x:c r="C5" s="22" t="n">
        <x:f>COUNTIFS(Late_Transactions!C:C,A5,Late_Transactions!K:K,"Duplicate")</x:f>
        <x:v>0</x:v>
      </x:c>
      <x:c r="D5" s="22" t="n">
        <x:f>COUNTIFS(Late_Transactions!C:C,A5,Late_Transactions!K:K,"Student not found")</x:f>
        <x:v>0</x:v>
      </x:c>
      <x:c r="E5" s="22" t="n">
        <x:f>SUM(B5:D5)</x:f>
        <x:v>0</x:v>
      </x:c>
    </x:row>
    <x:row r="6">
      <x:c r="A6" s="21" t="n">
        <x:f>A5+1</x:f>
        <x:v>46121</x:v>
      </x:c>
      <x:c r="B6" s="22" t="n">
        <x:f>COUNTIFS(Late_Transactions!C:C,A6,Late_Transactions!K:K,"Recorded")</x:f>
        <x:v>0</x:v>
      </x:c>
      <x:c r="C6" s="22" t="n">
        <x:f>COUNTIFS(Late_Transactions!C:C,A6,Late_Transactions!K:K,"Duplicate")</x:f>
        <x:v>0</x:v>
      </x:c>
      <x:c r="D6" s="22" t="n">
        <x:f>COUNTIFS(Late_Transactions!C:C,A6,Late_Transactions!K:K,"Student not found")</x:f>
        <x:v>0</x:v>
      </x:c>
      <x:c r="E6" s="22" t="n">
        <x:f>SUM(B6:D6)</x:f>
        <x:v>0</x:v>
      </x:c>
    </x:row>
    <x:row r="7">
      <x:c r="A7" s="21" t="n">
        <x:f>A6+1</x:f>
        <x:v>46122</x:v>
      </x:c>
      <x:c r="B7" s="22" t="n">
        <x:f>COUNTIFS(Late_Transactions!C:C,A7,Late_Transactions!K:K,"Recorded")</x:f>
        <x:v>0</x:v>
      </x:c>
      <x:c r="C7" s="22" t="n">
        <x:f>COUNTIFS(Late_Transactions!C:C,A7,Late_Transactions!K:K,"Duplicate")</x:f>
        <x:v>0</x:v>
      </x:c>
      <x:c r="D7" s="22" t="n">
        <x:f>COUNTIFS(Late_Transactions!C:C,A7,Late_Transactions!K:K,"Student not found")</x:f>
        <x:v>0</x:v>
      </x:c>
      <x:c r="E7" s="22" t="n">
        <x:f>SUM(B7:D7)</x:f>
        <x:v>0</x:v>
      </x:c>
    </x:row>
    <x:row r="8">
      <x:c r="A8" s="21" t="n">
        <x:f>A7+1</x:f>
        <x:v>46123</x:v>
      </x:c>
      <x:c r="B8" s="22" t="n">
        <x:f>COUNTIFS(Late_Transactions!C:C,A8,Late_Transactions!K:K,"Recorded")</x:f>
        <x:v>0</x:v>
      </x:c>
      <x:c r="C8" s="22" t="n">
        <x:f>COUNTIFS(Late_Transactions!C:C,A8,Late_Transactions!K:K,"Duplicate")</x:f>
        <x:v>0</x:v>
      </x:c>
      <x:c r="D8" s="22" t="n">
        <x:f>COUNTIFS(Late_Transactions!C:C,A8,Late_Transactions!K:K,"Student not found")</x:f>
        <x:v>0</x:v>
      </x:c>
      <x:c r="E8" s="22" t="n">
        <x:f>SUM(B8:D8)</x:f>
        <x:v>0</x:v>
      </x:c>
    </x:row>
    <x:row r="9">
      <x:c r="A9" s="21" t="n">
        <x:f>A8+1</x:f>
        <x:v>46124</x:v>
      </x:c>
      <x:c r="B9" s="22" t="n">
        <x:f>COUNTIFS(Late_Transactions!C:C,A9,Late_Transactions!K:K,"Recorded")</x:f>
        <x:v>0</x:v>
      </x:c>
      <x:c r="C9" s="22" t="n">
        <x:f>COUNTIFS(Late_Transactions!C:C,A9,Late_Transactions!K:K,"Duplicate")</x:f>
        <x:v>0</x:v>
      </x:c>
      <x:c r="D9" s="22" t="n">
        <x:f>COUNTIFS(Late_Transactions!C:C,A9,Late_Transactions!K:K,"Student not found")</x:f>
        <x:v>0</x:v>
      </x:c>
      <x:c r="E9" s="22" t="n">
        <x:f>SUM(B9:D9)</x:f>
        <x:v>0</x:v>
      </x:c>
    </x:row>
    <x:row r="10">
      <x:c r="A10" s="21" t="n">
        <x:f>A9+1</x:f>
        <x:v>46125</x:v>
      </x:c>
      <x:c r="B10" s="22" t="n">
        <x:f>COUNTIFS(Late_Transactions!C:C,A10,Late_Transactions!K:K,"Recorded")</x:f>
        <x:v>0</x:v>
      </x:c>
      <x:c r="C10" s="22" t="n">
        <x:f>COUNTIFS(Late_Transactions!C:C,A10,Late_Transactions!K:K,"Duplicate")</x:f>
        <x:v>0</x:v>
      </x:c>
      <x:c r="D10" s="22" t="n">
        <x:f>COUNTIFS(Late_Transactions!C:C,A10,Late_Transactions!K:K,"Student not found")</x:f>
        <x:v>0</x:v>
      </x:c>
      <x:c r="E10" s="22" t="n">
        <x:f>SUM(B10:D10)</x:f>
        <x:v>0</x:v>
      </x:c>
    </x:row>
    <x:row r="11">
      <x:c r="A11" s="21" t="n">
        <x:f>A10+1</x:f>
        <x:v>46126</x:v>
      </x:c>
      <x:c r="B11" s="22" t="n">
        <x:f>COUNTIFS(Late_Transactions!C:C,A11,Late_Transactions!K:K,"Recorded")</x:f>
        <x:v>0</x:v>
      </x:c>
      <x:c r="C11" s="22" t="n">
        <x:f>COUNTIFS(Late_Transactions!C:C,A11,Late_Transactions!K:K,"Duplicate")</x:f>
        <x:v>0</x:v>
      </x:c>
      <x:c r="D11" s="22" t="n">
        <x:f>COUNTIFS(Late_Transactions!C:C,A11,Late_Transactions!K:K,"Student not found")</x:f>
        <x:v>0</x:v>
      </x:c>
      <x:c r="E11" s="22" t="n">
        <x:f>SUM(B11:D11)</x:f>
        <x:v>0</x:v>
      </x:c>
    </x:row>
    <x:row r="12">
      <x:c r="A12" s="21" t="n">
        <x:f>A11+1</x:f>
        <x:v>46127</x:v>
      </x:c>
      <x:c r="B12" s="22" t="n">
        <x:f>COUNTIFS(Late_Transactions!C:C,A12,Late_Transactions!K:K,"Recorded")</x:f>
        <x:v>0</x:v>
      </x:c>
      <x:c r="C12" s="22" t="n">
        <x:f>COUNTIFS(Late_Transactions!C:C,A12,Late_Transactions!K:K,"Duplicate")</x:f>
        <x:v>0</x:v>
      </x:c>
      <x:c r="D12" s="22" t="n">
        <x:f>COUNTIFS(Late_Transactions!C:C,A12,Late_Transactions!K:K,"Student not found")</x:f>
        <x:v>0</x:v>
      </x:c>
      <x:c r="E12" s="22" t="n">
        <x:f>SUM(B12:D12)</x:f>
        <x:v>0</x:v>
      </x:c>
    </x:row>
    <x:row r="13">
      <x:c r="A13" s="21" t="n">
        <x:f>A12+1</x:f>
        <x:v>46128</x:v>
      </x:c>
      <x:c r="B13" s="22" t="n">
        <x:f>COUNTIFS(Late_Transactions!C:C,A13,Late_Transactions!K:K,"Recorded")</x:f>
        <x:v>0</x:v>
      </x:c>
      <x:c r="C13" s="22" t="n">
        <x:f>COUNTIFS(Late_Transactions!C:C,A13,Late_Transactions!K:K,"Duplicate")</x:f>
        <x:v>0</x:v>
      </x:c>
      <x:c r="D13" s="22" t="n">
        <x:f>COUNTIFS(Late_Transactions!C:C,A13,Late_Transactions!K:K,"Student not found")</x:f>
        <x:v>0</x:v>
      </x:c>
      <x:c r="E13" s="22" t="n">
        <x:f>SUM(B13:D13)</x:f>
        <x:v>0</x:v>
      </x:c>
    </x:row>
    <x:row r="14">
      <x:c r="A14" s="21" t="n">
        <x:f>A13+1</x:f>
        <x:v>46129</x:v>
      </x:c>
      <x:c r="B14" s="22" t="n">
        <x:f>COUNTIFS(Late_Transactions!C:C,A14,Late_Transactions!K:K,"Recorded")</x:f>
        <x:v>0</x:v>
      </x:c>
      <x:c r="C14" s="22" t="n">
        <x:f>COUNTIFS(Late_Transactions!C:C,A14,Late_Transactions!K:K,"Duplicate")</x:f>
        <x:v>0</x:v>
      </x:c>
      <x:c r="D14" s="22" t="n">
        <x:f>COUNTIFS(Late_Transactions!C:C,A14,Late_Transactions!K:K,"Student not found")</x:f>
        <x:v>0</x:v>
      </x:c>
      <x:c r="E14" s="22" t="n">
        <x:f>SUM(B14:D14)</x:f>
        <x:v>0</x:v>
      </x:c>
    </x:row>
    <x:row r="15">
      <x:c r="A15" s="21" t="n">
        <x:f>A14+1</x:f>
        <x:v>46130</x:v>
      </x:c>
      <x:c r="B15" s="22" t="n">
        <x:f>COUNTIFS(Late_Transactions!C:C,A15,Late_Transactions!K:K,"Recorded")</x:f>
        <x:v>0</x:v>
      </x:c>
      <x:c r="C15" s="22" t="n">
        <x:f>COUNTIFS(Late_Transactions!C:C,A15,Late_Transactions!K:K,"Duplicate")</x:f>
        <x:v>0</x:v>
      </x:c>
      <x:c r="D15" s="22" t="n">
        <x:f>COUNTIFS(Late_Transactions!C:C,A15,Late_Transactions!K:K,"Student not found")</x:f>
        <x:v>0</x:v>
      </x:c>
      <x:c r="E15" s="22" t="n">
        <x:f>SUM(B15:D15)</x:f>
        <x:v>0</x:v>
      </x:c>
    </x:row>
    <x:row r="16">
      <x:c r="A16" s="21" t="n">
        <x:f>A15+1</x:f>
        <x:v>46131</x:v>
      </x:c>
      <x:c r="B16" s="22" t="n">
        <x:f>COUNTIFS(Late_Transactions!C:C,A16,Late_Transactions!K:K,"Recorded")</x:f>
        <x:v>0</x:v>
      </x:c>
      <x:c r="C16" s="22" t="n">
        <x:f>COUNTIFS(Late_Transactions!C:C,A16,Late_Transactions!K:K,"Duplicate")</x:f>
        <x:v>0</x:v>
      </x:c>
      <x:c r="D16" s="22" t="n">
        <x:f>COUNTIFS(Late_Transactions!C:C,A16,Late_Transactions!K:K,"Student not found")</x:f>
        <x:v>0</x:v>
      </x:c>
      <x:c r="E16" s="22" t="n">
        <x:f>SUM(B16:D16)</x:f>
        <x:v>0</x:v>
      </x:c>
    </x:row>
    <x:row r="17">
      <x:c r="A17" s="21" t="n">
        <x:f>A16+1</x:f>
        <x:v>46132</x:v>
      </x:c>
      <x:c r="B17" s="22" t="n">
        <x:f>COUNTIFS(Late_Transactions!C:C,A17,Late_Transactions!K:K,"Recorded")</x:f>
        <x:v>0</x:v>
      </x:c>
      <x:c r="C17" s="22" t="n">
        <x:f>COUNTIFS(Late_Transactions!C:C,A17,Late_Transactions!K:K,"Duplicate")</x:f>
        <x:v>0</x:v>
      </x:c>
      <x:c r="D17" s="22" t="n">
        <x:f>COUNTIFS(Late_Transactions!C:C,A17,Late_Transactions!K:K,"Student not found")</x:f>
        <x:v>0</x:v>
      </x:c>
      <x:c r="E17" s="22" t="n">
        <x:f>SUM(B17:D17)</x:f>
        <x:v>0</x:v>
      </x:c>
    </x:row>
    <x:row r="18">
      <x:c r="A18" s="21" t="n">
        <x:f>A17+1</x:f>
        <x:v>46133</x:v>
      </x:c>
      <x:c r="B18" s="22" t="n">
        <x:f>COUNTIFS(Late_Transactions!C:C,A18,Late_Transactions!K:K,"Recorded")</x:f>
        <x:v>0</x:v>
      </x:c>
      <x:c r="C18" s="22" t="n">
        <x:f>COUNTIFS(Late_Transactions!C:C,A18,Late_Transactions!K:K,"Duplicate")</x:f>
        <x:v>0</x:v>
      </x:c>
      <x:c r="D18" s="22" t="n">
        <x:f>COUNTIFS(Late_Transactions!C:C,A18,Late_Transactions!K:K,"Student not found")</x:f>
        <x:v>0</x:v>
      </x:c>
      <x:c r="E18" s="22" t="n">
        <x:f>SUM(B18:D18)</x:f>
        <x:v>0</x:v>
      </x:c>
    </x:row>
    <x:row r="19">
      <x:c r="A19" s="21" t="n">
        <x:f>A18+1</x:f>
        <x:v>46134</x:v>
      </x:c>
      <x:c r="B19" s="22" t="n">
        <x:f>COUNTIFS(Late_Transactions!C:C,A19,Late_Transactions!K:K,"Recorded")</x:f>
        <x:v>0</x:v>
      </x:c>
      <x:c r="C19" s="22" t="n">
        <x:f>COUNTIFS(Late_Transactions!C:C,A19,Late_Transactions!K:K,"Duplicate")</x:f>
        <x:v>0</x:v>
      </x:c>
      <x:c r="D19" s="22" t="n">
        <x:f>COUNTIFS(Late_Transactions!C:C,A19,Late_Transactions!K:K,"Student not found")</x:f>
        <x:v>0</x:v>
      </x:c>
      <x:c r="E19" s="22" t="n">
        <x:f>SUM(B19:D19)</x:f>
        <x:v>0</x:v>
      </x:c>
    </x:row>
    <x:row r="20">
      <x:c r="A20" s="21" t="n">
        <x:f>A19+1</x:f>
        <x:v>46135</x:v>
      </x:c>
      <x:c r="B20" s="22" t="n">
        <x:f>COUNTIFS(Late_Transactions!C:C,A20,Late_Transactions!K:K,"Recorded")</x:f>
        <x:v>0</x:v>
      </x:c>
      <x:c r="C20" s="22" t="n">
        <x:f>COUNTIFS(Late_Transactions!C:C,A20,Late_Transactions!K:K,"Duplicate")</x:f>
        <x:v>0</x:v>
      </x:c>
      <x:c r="D20" s="22" t="n">
        <x:f>COUNTIFS(Late_Transactions!C:C,A20,Late_Transactions!K:K,"Student not found")</x:f>
        <x:v>0</x:v>
      </x:c>
      <x:c r="E20" s="22" t="n">
        <x:f>SUM(B20:D20)</x:f>
        <x:v>0</x:v>
      </x:c>
    </x:row>
    <x:row r="21">
      <x:c r="A21" s="21" t="n">
        <x:f>A20+1</x:f>
        <x:v>46136</x:v>
      </x:c>
      <x:c r="B21" s="22" t="n">
        <x:f>COUNTIFS(Late_Transactions!C:C,A21,Late_Transactions!K:K,"Recorded")</x:f>
        <x:v>0</x:v>
      </x:c>
      <x:c r="C21" s="22" t="n">
        <x:f>COUNTIFS(Late_Transactions!C:C,A21,Late_Transactions!K:K,"Duplicate")</x:f>
        <x:v>0</x:v>
      </x:c>
      <x:c r="D21" s="22" t="n">
        <x:f>COUNTIFS(Late_Transactions!C:C,A21,Late_Transactions!K:K,"Student not found")</x:f>
        <x:v>0</x:v>
      </x:c>
      <x:c r="E21" s="22" t="n">
        <x:f>SUM(B21:D21)</x:f>
        <x:v>0</x:v>
      </x:c>
    </x:row>
    <x:row r="22">
      <x:c r="A22" s="21" t="n">
        <x:f>A21+1</x:f>
        <x:v>46137</x:v>
      </x:c>
      <x:c r="B22" s="22" t="n">
        <x:f>COUNTIFS(Late_Transactions!C:C,A22,Late_Transactions!K:K,"Recorded")</x:f>
        <x:v>0</x:v>
      </x:c>
      <x:c r="C22" s="22" t="n">
        <x:f>COUNTIFS(Late_Transactions!C:C,A22,Late_Transactions!K:K,"Duplicate")</x:f>
        <x:v>0</x:v>
      </x:c>
      <x:c r="D22" s="22" t="n">
        <x:f>COUNTIFS(Late_Transactions!C:C,A22,Late_Transactions!K:K,"Student not found")</x:f>
        <x:v>0</x:v>
      </x:c>
      <x:c r="E22" s="22" t="n">
        <x:f>SUM(B22:D22)</x:f>
        <x:v>0</x:v>
      </x:c>
    </x:row>
    <x:row r="23">
      <x:c r="A23" s="21" t="n">
        <x:f>A22+1</x:f>
        <x:v>46138</x:v>
      </x:c>
      <x:c r="B23" s="22" t="n">
        <x:f>COUNTIFS(Late_Transactions!C:C,A23,Late_Transactions!K:K,"Recorded")</x:f>
        <x:v>0</x:v>
      </x:c>
      <x:c r="C23" s="22" t="n">
        <x:f>COUNTIFS(Late_Transactions!C:C,A23,Late_Transactions!K:K,"Duplicate")</x:f>
        <x:v>0</x:v>
      </x:c>
      <x:c r="D23" s="22" t="n">
        <x:f>COUNTIFS(Late_Transactions!C:C,A23,Late_Transactions!K:K,"Student not found")</x:f>
        <x:v>0</x:v>
      </x:c>
      <x:c r="E23" s="22" t="n">
        <x:f>SUM(B23:D23)</x:f>
        <x:v>0</x:v>
      </x:c>
    </x:row>
    <x:row r="24">
      <x:c r="A24" s="21" t="n">
        <x:f>A23+1</x:f>
        <x:v>46139</x:v>
      </x:c>
      <x:c r="B24" s="22" t="n">
        <x:f>COUNTIFS(Late_Transactions!C:C,A24,Late_Transactions!K:K,"Recorded")</x:f>
        <x:v>0</x:v>
      </x:c>
      <x:c r="C24" s="22" t="n">
        <x:f>COUNTIFS(Late_Transactions!C:C,A24,Late_Transactions!K:K,"Duplicate")</x:f>
        <x:v>0</x:v>
      </x:c>
      <x:c r="D24" s="22" t="n">
        <x:f>COUNTIFS(Late_Transactions!C:C,A24,Late_Transactions!K:K,"Student not found")</x:f>
        <x:v>0</x:v>
      </x:c>
      <x:c r="E24" s="22" t="n">
        <x:f>SUM(B24:D24)</x:f>
        <x:v>0</x:v>
      </x:c>
    </x:row>
    <x:row r="25">
      <x:c r="A25" s="21" t="n">
        <x:f>A24+1</x:f>
        <x:v>46140</x:v>
      </x:c>
      <x:c r="B25" s="22" t="n">
        <x:f>COUNTIFS(Late_Transactions!C:C,A25,Late_Transactions!K:K,"Recorded")</x:f>
        <x:v>0</x:v>
      </x:c>
      <x:c r="C25" s="22" t="n">
        <x:f>COUNTIFS(Late_Transactions!C:C,A25,Late_Transactions!K:K,"Duplicate")</x:f>
        <x:v>0</x:v>
      </x:c>
      <x:c r="D25" s="22" t="n">
        <x:f>COUNTIFS(Late_Transactions!C:C,A25,Late_Transactions!K:K,"Student not found")</x:f>
        <x:v>0</x:v>
      </x:c>
      <x:c r="E25" s="22" t="n">
        <x:f>SUM(B25:D25)</x:f>
        <x:v>0</x:v>
      </x:c>
    </x:row>
    <x:row r="26">
      <x:c r="A26" s="21" t="n">
        <x:f>A25+1</x:f>
        <x:v>46141</x:v>
      </x:c>
      <x:c r="B26" s="22" t="n">
        <x:f>COUNTIFS(Late_Transactions!C:C,A26,Late_Transactions!K:K,"Recorded")</x:f>
        <x:v>0</x:v>
      </x:c>
      <x:c r="C26" s="22" t="n">
        <x:f>COUNTIFS(Late_Transactions!C:C,A26,Late_Transactions!K:K,"Duplicate")</x:f>
        <x:v>0</x:v>
      </x:c>
      <x:c r="D26" s="22" t="n">
        <x:f>COUNTIFS(Late_Transactions!C:C,A26,Late_Transactions!K:K,"Student not found")</x:f>
        <x:v>0</x:v>
      </x:c>
      <x:c r="E26" s="22" t="n">
        <x:f>SUM(B26:D26)</x:f>
        <x:v>0</x:v>
      </x:c>
    </x:row>
    <x:row r="27">
      <x:c r="A27" s="21" t="n">
        <x:f>A26+1</x:f>
        <x:v>46142</x:v>
      </x:c>
      <x:c r="B27" s="22" t="n">
        <x:f>COUNTIFS(Late_Transactions!C:C,A27,Late_Transactions!K:K,"Recorded")</x:f>
        <x:v>0</x:v>
      </x:c>
      <x:c r="C27" s="22" t="n">
        <x:f>COUNTIFS(Late_Transactions!C:C,A27,Late_Transactions!K:K,"Duplicate")</x:f>
        <x:v>0</x:v>
      </x:c>
      <x:c r="D27" s="22" t="n">
        <x:f>COUNTIFS(Late_Transactions!C:C,A27,Late_Transactions!K:K,"Student not found")</x:f>
        <x:v>0</x:v>
      </x:c>
      <x:c r="E27" s="22" t="n">
        <x:f>SUM(B27:D27)</x:f>
        <x:v>0</x:v>
      </x:c>
    </x:row>
    <x:row r="28">
      <x:c r="A28" s="21" t="n">
        <x:f>A27+1</x:f>
        <x:v>46143</x:v>
      </x:c>
      <x:c r="B28" s="22" t="n">
        <x:f>COUNTIFS(Late_Transactions!C:C,A28,Late_Transactions!K:K,"Recorded")</x:f>
        <x:v>0</x:v>
      </x:c>
      <x:c r="C28" s="22" t="n">
        <x:f>COUNTIFS(Late_Transactions!C:C,A28,Late_Transactions!K:K,"Duplicate")</x:f>
        <x:v>0</x:v>
      </x:c>
      <x:c r="D28" s="22" t="n">
        <x:f>COUNTIFS(Late_Transactions!C:C,A28,Late_Transactions!K:K,"Student not found")</x:f>
        <x:v>0</x:v>
      </x:c>
      <x:c r="E28" s="22" t="n">
        <x:f>SUM(B28:D28)</x:f>
        <x:v>0</x:v>
      </x:c>
    </x:row>
    <x:row r="29">
      <x:c r="A29" s="21" t="n">
        <x:f>A28+1</x:f>
        <x:v>46144</x:v>
      </x:c>
      <x:c r="B29" s="22" t="n">
        <x:f>COUNTIFS(Late_Transactions!C:C,A29,Late_Transactions!K:K,"Recorded")</x:f>
        <x:v>0</x:v>
      </x:c>
      <x:c r="C29" s="22" t="n">
        <x:f>COUNTIFS(Late_Transactions!C:C,A29,Late_Transactions!K:K,"Duplicate")</x:f>
        <x:v>0</x:v>
      </x:c>
      <x:c r="D29" s="22" t="n">
        <x:f>COUNTIFS(Late_Transactions!C:C,A29,Late_Transactions!K:K,"Student not found")</x:f>
        <x:v>0</x:v>
      </x:c>
      <x:c r="E29" s="22" t="n">
        <x:f>SUM(B29:D29)</x:f>
        <x:v>0</x:v>
      </x:c>
    </x:row>
    <x:row r="30">
      <x:c r="A30" s="21" t="n">
        <x:f>A29+1</x:f>
        <x:v>46145</x:v>
      </x:c>
      <x:c r="B30" s="22" t="n">
        <x:f>COUNTIFS(Late_Transactions!C:C,A30,Late_Transactions!K:K,"Recorded")</x:f>
        <x:v>0</x:v>
      </x:c>
      <x:c r="C30" s="22" t="n">
        <x:f>COUNTIFS(Late_Transactions!C:C,A30,Late_Transactions!K:K,"Duplicate")</x:f>
        <x:v>0</x:v>
      </x:c>
      <x:c r="D30" s="22" t="n">
        <x:f>COUNTIFS(Late_Transactions!C:C,A30,Late_Transactions!K:K,"Student not found")</x:f>
        <x:v>0</x:v>
      </x:c>
      <x:c r="E30" s="22" t="n">
        <x:f>SUM(B30:D30)</x:f>
        <x:v>0</x:v>
      </x:c>
    </x:row>
    <x:row r="31">
      <x:c r="A31" s="21" t="n">
        <x:f>A30+1</x:f>
        <x:v>46146</x:v>
      </x:c>
      <x:c r="B31" s="22" t="n">
        <x:f>COUNTIFS(Late_Transactions!C:C,A31,Late_Transactions!K:K,"Recorded")</x:f>
        <x:v>0</x:v>
      </x:c>
      <x:c r="C31" s="22" t="n">
        <x:f>COUNTIFS(Late_Transactions!C:C,A31,Late_Transactions!K:K,"Duplicate")</x:f>
        <x:v>0</x:v>
      </x:c>
      <x:c r="D31" s="22" t="n">
        <x:f>COUNTIFS(Late_Transactions!C:C,A31,Late_Transactions!K:K,"Student not found")</x:f>
        <x:v>0</x:v>
      </x:c>
      <x:c r="E31" s="22" t="n">
        <x:f>SUM(B31:D31)</x:f>
        <x:v>0</x:v>
      </x:c>
    </x:row>
    <x:row r="32">
      <x:c r="A32" s="21" t="n">
        <x:f>A31+1</x:f>
        <x:v>46147</x:v>
      </x:c>
      <x:c r="B32" s="22" t="n">
        <x:f>COUNTIFS(Late_Transactions!C:C,A32,Late_Transactions!K:K,"Recorded")</x:f>
        <x:v>0</x:v>
      </x:c>
      <x:c r="C32" s="22" t="n">
        <x:f>COUNTIFS(Late_Transactions!C:C,A32,Late_Transactions!K:K,"Duplicate")</x:f>
        <x:v>0</x:v>
      </x:c>
      <x:c r="D32" s="22" t="n">
        <x:f>COUNTIFS(Late_Transactions!C:C,A32,Late_Transactions!K:K,"Student not found")</x:f>
        <x:v>0</x:v>
      </x:c>
      <x:c r="E32" s="22" t="n">
        <x:f>SUM(B32:D32)</x:f>
        <x:v>0</x:v>
      </x:c>
    </x:row>
    <x:row r="33">
      <x:c r="A33" s="21" t="n">
        <x:f>A32+1</x:f>
        <x:v>46148</x:v>
      </x:c>
      <x:c r="B33" s="22" t="n">
        <x:f>COUNTIFS(Late_Transactions!C:C,A33,Late_Transactions!K:K,"Recorded")</x:f>
        <x:v>0</x:v>
      </x:c>
      <x:c r="C33" s="22" t="n">
        <x:f>COUNTIFS(Late_Transactions!C:C,A33,Late_Transactions!K:K,"Duplicate")</x:f>
        <x:v>0</x:v>
      </x:c>
      <x:c r="D33" s="22" t="n">
        <x:f>COUNTIFS(Late_Transactions!C:C,A33,Late_Transactions!K:K,"Student not found")</x:f>
        <x:v>0</x:v>
      </x:c>
      <x:c r="E33" s="22" t="n">
        <x:f>SUM(B33:D33)</x:f>
        <x:v>0</x:v>
      </x:c>
    </x:row>
    <x:row r="34">
      <x:c r="A34" s="21" t="n">
        <x:f>A33+1</x:f>
        <x:v>46149</x:v>
      </x:c>
      <x:c r="B34" s="22" t="n">
        <x:f>COUNTIFS(Late_Transactions!C:C,A34,Late_Transactions!K:K,"Recorded")</x:f>
        <x:v>0</x:v>
      </x:c>
      <x:c r="C34" s="22" t="n">
        <x:f>COUNTIFS(Late_Transactions!C:C,A34,Late_Transactions!K:K,"Duplicate")</x:f>
        <x:v>0</x:v>
      </x:c>
      <x:c r="D34" s="22" t="n">
        <x:f>COUNTIFS(Late_Transactions!C:C,A34,Late_Transactions!K:K,"Student not found")</x:f>
        <x:v>0</x:v>
      </x:c>
      <x:c r="E34" s="22" t="n">
        <x:f>SUM(B34:D34)</x:f>
        <x:v>0</x:v>
      </x:c>
    </x:row>
    <x:row r="35">
      <x:c r="A35" s="21" t="n">
        <x:f>A34+1</x:f>
        <x:v>46150</x:v>
      </x:c>
      <x:c r="B35" s="22" t="n">
        <x:f>COUNTIFS(Late_Transactions!C:C,A35,Late_Transactions!K:K,"Recorded")</x:f>
        <x:v>0</x:v>
      </x:c>
      <x:c r="C35" s="22" t="n">
        <x:f>COUNTIFS(Late_Transactions!C:C,A35,Late_Transactions!K:K,"Duplicate")</x:f>
        <x:v>0</x:v>
      </x:c>
      <x:c r="D35" s="22" t="n">
        <x:f>COUNTIFS(Late_Transactions!C:C,A35,Late_Transactions!K:K,"Student not found")</x:f>
        <x:v>0</x:v>
      </x:c>
      <x:c r="E35" s="22" t="n">
        <x:f>SUM(B35:D35)</x:f>
        <x:v>0</x:v>
      </x:c>
    </x:row>
    <x:row r="36">
      <x:c r="A36" s="21" t="n">
        <x:f>A35+1</x:f>
        <x:v>46151</x:v>
      </x:c>
      <x:c r="B36" s="22" t="n">
        <x:f>COUNTIFS(Late_Transactions!C:C,A36,Late_Transactions!K:K,"Recorded")</x:f>
        <x:v>0</x:v>
      </x:c>
      <x:c r="C36" s="22" t="n">
        <x:f>COUNTIFS(Late_Transactions!C:C,A36,Late_Transactions!K:K,"Duplicate")</x:f>
        <x:v>0</x:v>
      </x:c>
      <x:c r="D36" s="22" t="n">
        <x:f>COUNTIFS(Late_Transactions!C:C,A36,Late_Transactions!K:K,"Student not found")</x:f>
        <x:v>0</x:v>
      </x:c>
      <x:c r="E36" s="22" t="n">
        <x:f>SUM(B36:D36)</x:f>
        <x:v>0</x:v>
      </x:c>
    </x:row>
    <x:row r="37">
      <x:c r="A37" s="21" t="n">
        <x:f>A36+1</x:f>
        <x:v>46152</x:v>
      </x:c>
      <x:c r="B37" s="22" t="n">
        <x:f>COUNTIFS(Late_Transactions!C:C,A37,Late_Transactions!K:K,"Recorded")</x:f>
        <x:v>0</x:v>
      </x:c>
      <x:c r="C37" s="22" t="n">
        <x:f>COUNTIFS(Late_Transactions!C:C,A37,Late_Transactions!K:K,"Duplicate")</x:f>
        <x:v>0</x:v>
      </x:c>
      <x:c r="D37" s="22" t="n">
        <x:f>COUNTIFS(Late_Transactions!C:C,A37,Late_Transactions!K:K,"Student not found")</x:f>
        <x:v>0</x:v>
      </x:c>
      <x:c r="E37" s="22" t="n">
        <x:f>SUM(B37:D37)</x:f>
        <x:v>0</x:v>
      </x:c>
    </x:row>
    <x:row r="38">
      <x:c r="A38" s="21" t="n">
        <x:f>A37+1</x:f>
        <x:v>46153</x:v>
      </x:c>
      <x:c r="B38" s="22" t="n">
        <x:f>COUNTIFS(Late_Transactions!C:C,A38,Late_Transactions!K:K,"Recorded")</x:f>
        <x:v>0</x:v>
      </x:c>
      <x:c r="C38" s="22" t="n">
        <x:f>COUNTIFS(Late_Transactions!C:C,A38,Late_Transactions!K:K,"Duplicate")</x:f>
        <x:v>0</x:v>
      </x:c>
      <x:c r="D38" s="22" t="n">
        <x:f>COUNTIFS(Late_Transactions!C:C,A38,Late_Transactions!K:K,"Student not found")</x:f>
        <x:v>0</x:v>
      </x:c>
      <x:c r="E38" s="22" t="n">
        <x:f>SUM(B38:D38)</x:f>
        <x:v>0</x:v>
      </x:c>
    </x:row>
    <x:row r="39">
      <x:c r="A39" s="21" t="n">
        <x:f>A38+1</x:f>
        <x:v>46154</x:v>
      </x:c>
      <x:c r="B39" s="22" t="n">
        <x:f>COUNTIFS(Late_Transactions!C:C,A39,Late_Transactions!K:K,"Recorded")</x:f>
        <x:v>0</x:v>
      </x:c>
      <x:c r="C39" s="22" t="n">
        <x:f>COUNTIFS(Late_Transactions!C:C,A39,Late_Transactions!K:K,"Duplicate")</x:f>
        <x:v>0</x:v>
      </x:c>
      <x:c r="D39" s="22" t="n">
        <x:f>COUNTIFS(Late_Transactions!C:C,A39,Late_Transactions!K:K,"Student not found")</x:f>
        <x:v>0</x:v>
      </x:c>
      <x:c r="E39" s="22" t="n">
        <x:f>SUM(B39:D39)</x:f>
        <x:v>0</x:v>
      </x:c>
    </x:row>
    <x:row r="40">
      <x:c r="A40" s="21" t="n">
        <x:f>A39+1</x:f>
        <x:v>46155</x:v>
      </x:c>
      <x:c r="B40" s="22" t="n">
        <x:f>COUNTIFS(Late_Transactions!C:C,A40,Late_Transactions!K:K,"Recorded")</x:f>
        <x:v>0</x:v>
      </x:c>
      <x:c r="C40" s="22" t="n">
        <x:f>COUNTIFS(Late_Transactions!C:C,A40,Late_Transactions!K:K,"Duplicate")</x:f>
        <x:v>0</x:v>
      </x:c>
      <x:c r="D40" s="22" t="n">
        <x:f>COUNTIFS(Late_Transactions!C:C,A40,Late_Transactions!K:K,"Student not found")</x:f>
        <x:v>0</x:v>
      </x:c>
      <x:c r="E40" s="22" t="n">
        <x:f>SUM(B40:D40)</x:f>
        <x:v>0</x:v>
      </x:c>
    </x:row>
    <x:row r="41">
      <x:c r="A41" s="21" t="n">
        <x:f>A40+1</x:f>
        <x:v>46156</x:v>
      </x:c>
      <x:c r="B41" s="22" t="n">
        <x:f>COUNTIFS(Late_Transactions!C:C,A41,Late_Transactions!K:K,"Recorded")</x:f>
        <x:v>0</x:v>
      </x:c>
      <x:c r="C41" s="22" t="n">
        <x:f>COUNTIFS(Late_Transactions!C:C,A41,Late_Transactions!K:K,"Duplicate")</x:f>
        <x:v>0</x:v>
      </x:c>
      <x:c r="D41" s="22" t="n">
        <x:f>COUNTIFS(Late_Transactions!C:C,A41,Late_Transactions!K:K,"Student not found")</x:f>
        <x:v>0</x:v>
      </x:c>
      <x:c r="E41" s="22" t="n">
        <x:f>SUM(B41:D41)</x:f>
        <x:v>0</x:v>
      </x:c>
    </x:row>
    <x:row r="42">
      <x:c r="A42" s="21" t="n">
        <x:f>A41+1</x:f>
        <x:v>46157</x:v>
      </x:c>
      <x:c r="B42" s="22" t="n">
        <x:f>COUNTIFS(Late_Transactions!C:C,A42,Late_Transactions!K:K,"Recorded")</x:f>
        <x:v>0</x:v>
      </x:c>
      <x:c r="C42" s="22" t="n">
        <x:f>COUNTIFS(Late_Transactions!C:C,A42,Late_Transactions!K:K,"Duplicate")</x:f>
        <x:v>0</x:v>
      </x:c>
      <x:c r="D42" s="22" t="n">
        <x:f>COUNTIFS(Late_Transactions!C:C,A42,Late_Transactions!K:K,"Student not found")</x:f>
        <x:v>0</x:v>
      </x:c>
      <x:c r="E42" s="22" t="n">
        <x:f>SUM(B42:D42)</x:f>
        <x:v>0</x:v>
      </x:c>
    </x:row>
    <x:row r="43">
      <x:c r="A43" s="21" t="n">
        <x:f>A42+1</x:f>
        <x:v>46158</x:v>
      </x:c>
      <x:c r="B43" s="22" t="n">
        <x:f>COUNTIFS(Late_Transactions!C:C,A43,Late_Transactions!K:K,"Recorded")</x:f>
        <x:v>0</x:v>
      </x:c>
      <x:c r="C43" s="22" t="n">
        <x:f>COUNTIFS(Late_Transactions!C:C,A43,Late_Transactions!K:K,"Duplicate")</x:f>
        <x:v>0</x:v>
      </x:c>
      <x:c r="D43" s="22" t="n">
        <x:f>COUNTIFS(Late_Transactions!C:C,A43,Late_Transactions!K:K,"Student not found")</x:f>
        <x:v>0</x:v>
      </x:c>
      <x:c r="E43" s="22" t="n">
        <x:f>SUM(B43:D43)</x:f>
        <x:v>0</x:v>
      </x:c>
    </x:row>
    <x:row r="44">
      <x:c r="A44" s="21" t="n">
        <x:f>A43+1</x:f>
        <x:v>46159</x:v>
      </x:c>
      <x:c r="B44" s="22" t="n">
        <x:f>COUNTIFS(Late_Transactions!C:C,A44,Late_Transactions!K:K,"Recorded")</x:f>
        <x:v>0</x:v>
      </x:c>
      <x:c r="C44" s="22" t="n">
        <x:f>COUNTIFS(Late_Transactions!C:C,A44,Late_Transactions!K:K,"Duplicate")</x:f>
        <x:v>0</x:v>
      </x:c>
      <x:c r="D44" s="22" t="n">
        <x:f>COUNTIFS(Late_Transactions!C:C,A44,Late_Transactions!K:K,"Student not found")</x:f>
        <x:v>0</x:v>
      </x:c>
      <x:c r="E44" s="22" t="n">
        <x:f>SUM(B44:D44)</x:f>
        <x:v>0</x:v>
      </x:c>
    </x:row>
    <x:row r="45">
      <x:c r="A45" s="21" t="n">
        <x:f>A44+1</x:f>
        <x:v>46160</x:v>
      </x:c>
      <x:c r="B45" s="22" t="n">
        <x:f>COUNTIFS(Late_Transactions!C:C,A45,Late_Transactions!K:K,"Recorded")</x:f>
        <x:v>0</x:v>
      </x:c>
      <x:c r="C45" s="22" t="n">
        <x:f>COUNTIFS(Late_Transactions!C:C,A45,Late_Transactions!K:K,"Duplicate")</x:f>
        <x:v>0</x:v>
      </x:c>
      <x:c r="D45" s="22" t="n">
        <x:f>COUNTIFS(Late_Transactions!C:C,A45,Late_Transactions!K:K,"Student not found")</x:f>
        <x:v>0</x:v>
      </x:c>
      <x:c r="E45" s="22" t="n">
        <x:f>SUM(B45:D45)</x:f>
        <x:v>0</x:v>
      </x:c>
    </x:row>
    <x:row r="46">
      <x:c r="A46" s="21" t="n">
        <x:f>A45+1</x:f>
        <x:v>46161</x:v>
      </x:c>
      <x:c r="B46" s="22" t="n">
        <x:f>COUNTIFS(Late_Transactions!C:C,A46,Late_Transactions!K:K,"Recorded")</x:f>
        <x:v>0</x:v>
      </x:c>
      <x:c r="C46" s="22" t="n">
        <x:f>COUNTIFS(Late_Transactions!C:C,A46,Late_Transactions!K:K,"Duplicate")</x:f>
        <x:v>0</x:v>
      </x:c>
      <x:c r="D46" s="22" t="n">
        <x:f>COUNTIFS(Late_Transactions!C:C,A46,Late_Transactions!K:K,"Student not found")</x:f>
        <x:v>0</x:v>
      </x:c>
      <x:c r="E46" s="22" t="n">
        <x:f>SUM(B46:D46)</x:f>
        <x:v>0</x:v>
      </x:c>
    </x:row>
    <x:row r="47">
      <x:c r="A47" s="21" t="n">
        <x:f>A46+1</x:f>
        <x:v>46162</x:v>
      </x:c>
      <x:c r="B47" s="22" t="n">
        <x:f>COUNTIFS(Late_Transactions!C:C,A47,Late_Transactions!K:K,"Recorded")</x:f>
        <x:v>2</x:v>
      </x:c>
      <x:c r="C47" s="22" t="n">
        <x:f>COUNTIFS(Late_Transactions!C:C,A47,Late_Transactions!K:K,"Duplicate")</x:f>
        <x:v>0</x:v>
      </x:c>
      <x:c r="D47" s="22" t="n">
        <x:f>COUNTIFS(Late_Transactions!C:C,A47,Late_Transactions!K:K,"Student not found")</x:f>
        <x:v>0</x:v>
      </x:c>
      <x:c r="E47" s="22" t="n">
        <x:f>SUM(B47:D47)</x:f>
        <x:v>2</x:v>
      </x:c>
    </x:row>
    <x:row r="48">
      <x:c r="A48" s="21" t="n">
        <x:f>A47+1</x:f>
        <x:v>46163</x:v>
      </x:c>
      <x:c r="B48" s="22" t="n">
        <x:f>COUNTIFS(Late_Transactions!C:C,A48,Late_Transactions!K:K,"Recorded")</x:f>
        <x:v>2</x:v>
      </x:c>
      <x:c r="C48" s="22" t="n">
        <x:f>COUNTIFS(Late_Transactions!C:C,A48,Late_Transactions!K:K,"Duplicate")</x:f>
        <x:v>0</x:v>
      </x:c>
      <x:c r="D48" s="22" t="n">
        <x:f>COUNTIFS(Late_Transactions!C:C,A48,Late_Transactions!K:K,"Student not found")</x:f>
        <x:v>0</x:v>
      </x:c>
      <x:c r="E48" s="22" t="n">
        <x:f>SUM(B48:D48)</x:f>
        <x:v>2</x:v>
      </x:c>
    </x:row>
    <x:row r="49">
      <x:c r="A49" s="21" t="n">
        <x:f>A48+1</x:f>
        <x:v>46164</x:v>
      </x:c>
      <x:c r="B49" s="22" t="n">
        <x:f>COUNTIFS(Late_Transactions!C:C,A49,Late_Transactions!K:K,"Recorded")</x:f>
        <x:v>2</x:v>
      </x:c>
      <x:c r="C49" s="22" t="n">
        <x:f>COUNTIFS(Late_Transactions!C:C,A49,Late_Transactions!K:K,"Duplicate")</x:f>
        <x:v>0</x:v>
      </x:c>
      <x:c r="D49" s="22" t="n">
        <x:f>COUNTIFS(Late_Transactions!C:C,A49,Late_Transactions!K:K,"Student not found")</x:f>
        <x:v>0</x:v>
      </x:c>
      <x:c r="E49" s="22" t="n">
        <x:f>SUM(B49:D49)</x:f>
        <x:v>2</x:v>
      </x:c>
    </x:row>
    <x:row r="50">
      <x:c r="A50" s="21" t="n">
        <x:f>A49+1</x:f>
        <x:v>46165</x:v>
      </x:c>
      <x:c r="B50" s="22" t="n">
        <x:f>COUNTIFS(Late_Transactions!C:C,A50,Late_Transactions!K:K,"Recorded")</x:f>
        <x:v>2</x:v>
      </x:c>
      <x:c r="C50" s="22" t="n">
        <x:f>COUNTIFS(Late_Transactions!C:C,A50,Late_Transactions!K:K,"Duplicate")</x:f>
        <x:v>0</x:v>
      </x:c>
      <x:c r="D50" s="22" t="n">
        <x:f>COUNTIFS(Late_Transactions!C:C,A50,Late_Transactions!K:K,"Student not found")</x:f>
        <x:v>0</x:v>
      </x:c>
      <x:c r="E50" s="22" t="n">
        <x:f>SUM(B50:D50)</x:f>
        <x:v>2</x:v>
      </x:c>
    </x:row>
    <x:row r="51">
      <x:c r="A51" s="21" t="n">
        <x:f>A50+1</x:f>
        <x:v>46166</x:v>
      </x:c>
      <x:c r="B51" s="22" t="n">
        <x:f>COUNTIFS(Late_Transactions!C:C,A51,Late_Transactions!K:K,"Recorded")</x:f>
        <x:v>1</x:v>
      </x:c>
      <x:c r="C51" s="22" t="n">
        <x:f>COUNTIFS(Late_Transactions!C:C,A51,Late_Transactions!K:K,"Duplicate")</x:f>
        <x:v>0</x:v>
      </x:c>
      <x:c r="D51" s="22" t="n">
        <x:f>COUNTIFS(Late_Transactions!C:C,A51,Late_Transactions!K:K,"Student not found")</x:f>
        <x:v>1</x:v>
      </x:c>
      <x:c r="E51" s="22" t="n">
        <x:f>SUM(B51:D51)</x:f>
        <x:v>2</x:v>
      </x:c>
    </x:row>
    <x:row r="52">
      <x:c r="A52" s="21" t="n">
        <x:f>A51+1</x:f>
        <x:v>46167</x:v>
      </x:c>
      <x:c r="B52" s="22" t="n">
        <x:f>COUNTIFS(Late_Transactions!C:C,A52,Late_Transactions!K:K,"Recorded")</x:f>
        <x:v>1</x:v>
      </x:c>
      <x:c r="C52" s="22" t="n">
        <x:f>COUNTIFS(Late_Transactions!C:C,A52,Late_Transactions!K:K,"Duplicate")</x:f>
        <x:v>1</x:v>
      </x:c>
      <x:c r="D52" s="22" t="n">
        <x:f>COUNTIFS(Late_Transactions!C:C,A52,Late_Transactions!K:K,"Student not found")</x:f>
        <x:v>0</x:v>
      </x:c>
      <x:c r="E52" s="22" t="n">
        <x:f>SUM(B52:D52)</x:f>
        <x:v>2</x:v>
      </x:c>
    </x:row>
    <x:row r="53">
      <x:c r="A53" s="21" t="n">
        <x:f>A52+1</x:f>
        <x:v>46168</x:v>
      </x:c>
      <x:c r="B53" s="22" t="n">
        <x:f>COUNTIFS(Late_Transactions!C:C,A53,Late_Transactions!K:K,"Recorded")</x:f>
        <x:v>0</x:v>
      </x:c>
      <x:c r="C53" s="22" t="n">
        <x:f>COUNTIFS(Late_Transactions!C:C,A53,Late_Transactions!K:K,"Duplicate")</x:f>
        <x:v>0</x:v>
      </x:c>
      <x:c r="D53" s="22" t="n">
        <x:f>COUNTIFS(Late_Transactions!C:C,A53,Late_Transactions!K:K,"Student not found")</x:f>
        <x:v>0</x:v>
      </x:c>
      <x:c r="E53" s="22" t="n">
        <x:f>SUM(B53:D53)</x:f>
        <x:v>0</x:v>
      </x:c>
    </x:row>
    <x:row r="54">
      <x:c r="A54" s="21" t="n">
        <x:f>A53+1</x:f>
        <x:v>46169</x:v>
      </x:c>
      <x:c r="B54" s="22" t="n">
        <x:f>COUNTIFS(Late_Transactions!C:C,A54,Late_Transactions!K:K,"Recorded")</x:f>
        <x:v>0</x:v>
      </x:c>
      <x:c r="C54" s="22" t="n">
        <x:f>COUNTIFS(Late_Transactions!C:C,A54,Late_Transactions!K:K,"Duplicate")</x:f>
        <x:v>0</x:v>
      </x:c>
      <x:c r="D54" s="22" t="n">
        <x:f>COUNTIFS(Late_Transactions!C:C,A54,Late_Transactions!K:K,"Student not found")</x:f>
        <x:v>0</x:v>
      </x:c>
      <x:c r="E54" s="22" t="n">
        <x:f>SUM(B54:D54)</x:f>
        <x:v>0</x:v>
      </x:c>
    </x:row>
    <x:row r="55">
      <x:c r="A55" s="21" t="n">
        <x:f>A54+1</x:f>
        <x:v>46170</x:v>
      </x:c>
      <x:c r="B55" s="22" t="n">
        <x:f>COUNTIFS(Late_Transactions!C:C,A55,Late_Transactions!K:K,"Recorded")</x:f>
        <x:v>0</x:v>
      </x:c>
      <x:c r="C55" s="22" t="n">
        <x:f>COUNTIFS(Late_Transactions!C:C,A55,Late_Transactions!K:K,"Duplicate")</x:f>
        <x:v>0</x:v>
      </x:c>
      <x:c r="D55" s="22" t="n">
        <x:f>COUNTIFS(Late_Transactions!C:C,A55,Late_Transactions!K:K,"Student not found")</x:f>
        <x:v>0</x:v>
      </x:c>
      <x:c r="E55" s="22" t="n">
        <x:f>SUM(B55:D55)</x:f>
        <x:v>0</x:v>
      </x:c>
    </x:row>
    <x:row r="56">
      <x:c r="A56" s="21" t="n">
        <x:f>A55+1</x:f>
        <x:v>46171</x:v>
      </x:c>
      <x:c r="B56" s="22" t="n">
        <x:f>COUNTIFS(Late_Transactions!C:C,A56,Late_Transactions!K:K,"Recorded")</x:f>
        <x:v>0</x:v>
      </x:c>
      <x:c r="C56" s="22" t="n">
        <x:f>COUNTIFS(Late_Transactions!C:C,A56,Late_Transactions!K:K,"Duplicate")</x:f>
        <x:v>0</x:v>
      </x:c>
      <x:c r="D56" s="22" t="n">
        <x:f>COUNTIFS(Late_Transactions!C:C,A56,Late_Transactions!K:K,"Student not found")</x:f>
        <x:v>0</x:v>
      </x:c>
      <x:c r="E56" s="22" t="n">
        <x:f>SUM(B56:D56)</x:f>
        <x:v>0</x:v>
      </x:c>
    </x:row>
    <x:row r="57">
      <x:c r="A57" s="21" t="n">
        <x:f>A56+1</x:f>
        <x:v>46172</x:v>
      </x:c>
      <x:c r="B57" s="22" t="n">
        <x:f>COUNTIFS(Late_Transactions!C:C,A57,Late_Transactions!K:K,"Recorded")</x:f>
        <x:v>0</x:v>
      </x:c>
      <x:c r="C57" s="22" t="n">
        <x:f>COUNTIFS(Late_Transactions!C:C,A57,Late_Transactions!K:K,"Duplicate")</x:f>
        <x:v>0</x:v>
      </x:c>
      <x:c r="D57" s="22" t="n">
        <x:f>COUNTIFS(Late_Transactions!C:C,A57,Late_Transactions!K:K,"Student not found")</x:f>
        <x:v>0</x:v>
      </x:c>
      <x:c r="E57" s="22" t="n">
        <x:f>SUM(B57:D57)</x:f>
        <x:v>0</x:v>
      </x:c>
    </x:row>
    <x:row r="58">
      <x:c r="A58" s="21" t="n">
        <x:f>A57+1</x:f>
        <x:v>46173</x:v>
      </x:c>
      <x:c r="B58" s="22" t="n">
        <x:f>COUNTIFS(Late_Transactions!C:C,A58,Late_Transactions!K:K,"Recorded")</x:f>
        <x:v>0</x:v>
      </x:c>
      <x:c r="C58" s="22" t="n">
        <x:f>COUNTIFS(Late_Transactions!C:C,A58,Late_Transactions!K:K,"Duplicate")</x:f>
        <x:v>0</x:v>
      </x:c>
      <x:c r="D58" s="22" t="n">
        <x:f>COUNTIFS(Late_Transactions!C:C,A58,Late_Transactions!K:K,"Student not found")</x:f>
        <x:v>0</x:v>
      </x:c>
      <x:c r="E58" s="22" t="n">
        <x:f>SUM(B58:D58)</x:f>
        <x:v>0</x:v>
      </x:c>
    </x:row>
    <x:row r="59">
      <x:c r="A59" s="21" t="n">
        <x:f>A58+1</x:f>
        <x:v>46174</x:v>
      </x:c>
      <x:c r="B59" s="22" t="n">
        <x:f>COUNTIFS(Late_Transactions!C:C,A59,Late_Transactions!K:K,"Recorded")</x:f>
        <x:v>0</x:v>
      </x:c>
      <x:c r="C59" s="22" t="n">
        <x:f>COUNTIFS(Late_Transactions!C:C,A59,Late_Transactions!K:K,"Duplicate")</x:f>
        <x:v>0</x:v>
      </x:c>
      <x:c r="D59" s="22" t="n">
        <x:f>COUNTIFS(Late_Transactions!C:C,A59,Late_Transactions!K:K,"Student not found")</x:f>
        <x:v>0</x:v>
      </x:c>
      <x:c r="E59" s="22" t="n">
        <x:f>SUM(B59:D59)</x:f>
        <x:v>0</x:v>
      </x:c>
    </x:row>
    <x:row r="60">
      <x:c r="A60" s="21" t="n">
        <x:f>A59+1</x:f>
        <x:v>46175</x:v>
      </x:c>
      <x:c r="B60" s="22" t="n">
        <x:f>COUNTIFS(Late_Transactions!C:C,A60,Late_Transactions!K:K,"Recorded")</x:f>
        <x:v>0</x:v>
      </x:c>
      <x:c r="C60" s="22" t="n">
        <x:f>COUNTIFS(Late_Transactions!C:C,A60,Late_Transactions!K:K,"Duplicate")</x:f>
        <x:v>0</x:v>
      </x:c>
      <x:c r="D60" s="22" t="n">
        <x:f>COUNTIFS(Late_Transactions!C:C,A60,Late_Transactions!K:K,"Student not found")</x:f>
        <x:v>0</x:v>
      </x:c>
      <x:c r="E60" s="22" t="n">
        <x:f>SUM(B60:D60)</x:f>
        <x:v>0</x:v>
      </x:c>
    </x:row>
    <x:row r="61">
      <x:c r="A61" s="21" t="n">
        <x:f>A60+1</x:f>
        <x:v>46176</x:v>
      </x:c>
      <x:c r="B61" s="22" t="n">
        <x:f>COUNTIFS(Late_Transactions!C:C,A61,Late_Transactions!K:K,"Recorded")</x:f>
        <x:v>0</x:v>
      </x:c>
      <x:c r="C61" s="22" t="n">
        <x:f>COUNTIFS(Late_Transactions!C:C,A61,Late_Transactions!K:K,"Duplicate")</x:f>
        <x:v>0</x:v>
      </x:c>
      <x:c r="D61" s="22" t="n">
        <x:f>COUNTIFS(Late_Transactions!C:C,A61,Late_Transactions!K:K,"Student not found")</x:f>
        <x:v>0</x:v>
      </x:c>
      <x:c r="E61" s="22" t="n">
        <x:f>SUM(B61:D61)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c20ce89ff6427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0" hidden="0" customWidth="1"/>
    <x:col min="3" max="3" width="2.6700000762939453" hidden="0" customWidth="1"/>
    <x:col min="4" max="4" width="11.109999656677246" hidden="0" customWidth="1"/>
    <x:col min="5" max="5" width="10" hidden="0" customWidth="1"/>
    <x:col min="6" max="6" width="2.6700000762939453" hidden="0" customWidth="1"/>
    <x:col min="7" max="7" width="17.780000686645508" hidden="0" customWidth="1"/>
    <x:col min="8" max="8" width="10" hidden="0" customWidth="1"/>
    <x:col min="9" max="9" width="2.6700000762939453" hidden="0" customWidth="1"/>
    <x:col min="10" max="10" width="15.5600004196167" hidden="0" customWidth="1"/>
    <x:col min="11" max="11" width="13.329999923706055" hidden="0" customWidth="1"/>
    <x:col min="12" max="12" width="2.6700000762939453" hidden="0" customWidth="1"/>
    <x:col min="13" max="13" width="17.780000686645508" hidden="0" customWidth="1"/>
    <x:col min="14" max="14" width="17.780000686645508" hidden="0" customWidth="1"/>
    <x:col min="15" max="15" width="17.780000686645508" hidden="0" customWidth="1"/>
  </x:cols>
  <x:sheetData>
    <x:row r="1">
      <x:c r="A1" s="23" t="str">
        <x:v>Late Student Dashboard</x:v>
      </x:c>
      <x:c r="B1" s="23"/>
      <x:c r="C1" s="23"/>
      <x:c r="D1" s="23"/>
      <x:c r="E1" s="23"/>
      <x:c r="F1" s="23"/>
      <x:c r="G1" s="23"/>
      <x:c r="H1" s="23"/>
      <x:c r="I1" s="23"/>
    </x:row>
    <x:row r="2">
      <x:c r="A2" s="6" t="str">
        <x:v>Transaction เพิ่มได้เรื่อย ๆ กราฟและตัวเลขนับจาก Late_Transactions เฉพาะ status = Recorded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29" t="str">
        <x:v>Recorded ทั้งหมด</x:v>
      </x:c>
      <x:c r="B4" s="30"/>
      <x:c r="D4" s="29" t="str">
        <x:v>วันนี้</x:v>
      </x:c>
      <x:c r="E4" s="30"/>
      <x:c r="G4" s="29" t="str">
        <x:v>เดือนนี้</x:v>
      </x:c>
      <x:c r="H4" s="30"/>
      <x:c r="J4" s="29" t="str">
        <x:v>นักเรียนไม่ซ้ำ</x:v>
      </x:c>
      <x:c r="K4" s="30"/>
    </x:row>
    <x:row r="5">
      <x:c r="A5" s="33" t="n">
        <x:f>COUNTIF(Late_Transactions!K:K,"Recorded")</x:f>
        <x:v>10</x:v>
      </x:c>
      <x:c r="B5" s="34"/>
      <x:c r="D5" s="33" t="n">
        <x:f>COUNTIFS(Late_Transactions!C:C,TODAY(),Late_Transactions!K:K,"Recorded")</x:f>
        <x:v>0</x:v>
      </x:c>
      <x:c r="E5" s="34"/>
      <x:c r="G5" s="33" t="n">
        <x:f>COUNTIFS(Late_Transactions!C:C,"&gt;="&amp;EOMONTH(TODAY(),-1)+1,Late_Transactions!C:C,"&lt;="&amp;EOMONTH(TODAY(),0),Late_Transactions!K:K,"Recorded")</x:f>
        <x:v>0</x:v>
      </x:c>
      <x:c r="H5" s="34"/>
      <x:c r="J5" s="33" t="n">
        <x:f>IFERROR(COUNTA(UNIQUE(FILTER(Late_Transactions!E2:E2001,Late_Transactions!K2:K2001="Recorded"))),0)</x:f>
        <x:v>7</x:v>
      </x:c>
      <x:c r="K5" s="34"/>
    </x:row>
    <x:row r="8">
      <x:c r="A8" s="13" t="str">
        <x:v>14 วันล่าสุด</x:v>
      </x:c>
      <x:c r="B8" s="13" t="str">
        <x:v>จำนวน</x:v>
      </x:c>
      <x:c r="D8" s="13" t="str">
        <x:v>ห้อง</x:v>
      </x:c>
      <x:c r="E8" s="13" t="str">
        <x:v>จำนวน</x:v>
      </x:c>
      <x:c r="G8" s="13" t="str">
        <x:v>เหตุผล</x:v>
      </x:c>
      <x:c r="H8" s="13" t="str">
        <x:v>จำนวน</x:v>
      </x:c>
    </x:row>
    <x:row r="9">
      <x:c r="A9" s="21" t="n">
        <x:f>TODAY()-13</x:f>
        <x:v>46163</x:v>
      </x:c>
      <x:c r="B9" s="22" t="n">
        <x:f>COUNTIFS(Late_Transactions!C:C,A9,Late_Transactions!K:K,"Recorded")</x:f>
        <x:v>2</x:v>
      </x:c>
      <x:c r="D9" s="17" t="str">
        <x:f>IF(Settings!A5="","",Settings!A5)</x:f>
        <x:v>ม.1/1</x:v>
      </x:c>
      <x:c r="E9" s="22" t="n">
        <x:f>IF(D9="","",COUNTIFS(Late_Transactions!H:H,D9,Late_Transactions!K:K,"Recorded"))</x:f>
        <x:v>5</x:v>
      </x:c>
      <x:c r="G9" s="17" t="str">
        <x:f>IF(Settings!B5="","",Settings!B5)</x:f>
        <x:v>ตื่นสาย</x:v>
      </x:c>
      <x:c r="H9" s="22" t="n">
        <x:f>IF(G9="","",COUNTIFS(Late_Transactions!I:I,G9,Late_Transactions!K:K,"Recorded"))</x:f>
        <x:v>2</x:v>
      </x:c>
    </x:row>
    <x:row r="10">
      <x:c r="A10" s="21" t="n">
        <x:f>A9+1</x:f>
        <x:v>46164</x:v>
      </x:c>
      <x:c r="B10" s="22" t="n">
        <x:f>COUNTIFS(Late_Transactions!C:C,A10,Late_Transactions!K:K,"Recorded")</x:f>
        <x:v>2</x:v>
      </x:c>
      <x:c r="D10" s="17" t="str">
        <x:f>IF(Settings!A6="","",Settings!A6)</x:f>
        <x:v>ม.1/2</x:v>
      </x:c>
      <x:c r="E10" s="22" t="n">
        <x:f>IF(D10="","",COUNTIFS(Late_Transactions!H:H,D10,Late_Transactions!K:K,"Recorded"))</x:f>
        <x:v>0</x:v>
      </x:c>
      <x:c r="G10" s="17" t="str">
        <x:f>IF(Settings!B6="","",Settings!B6)</x:f>
        <x:v>รถติด</x:v>
      </x:c>
      <x:c r="H10" s="22" t="n">
        <x:f>IF(G10="","",COUNTIFS(Late_Transactions!I:I,G10,Late_Transactions!K:K,"Recorded"))</x:f>
        <x:v>5</x:v>
      </x:c>
    </x:row>
    <x:row r="11">
      <x:c r="A11" s="21" t="n">
        <x:f>A10+1</x:f>
        <x:v>46165</x:v>
      </x:c>
      <x:c r="B11" s="22" t="n">
        <x:f>COUNTIFS(Late_Transactions!C:C,A11,Late_Transactions!K:K,"Recorded")</x:f>
        <x:v>2</x:v>
      </x:c>
      <x:c r="D11" s="17" t="str">
        <x:f>IF(Settings!A7="","",Settings!A7)</x:f>
        <x:v>ม.2/1</x:v>
      </x:c>
      <x:c r="E11" s="22" t="n">
        <x:f>IF(D11="","",COUNTIFS(Late_Transactions!H:H,D11,Late_Transactions!K:K,"Recorded"))</x:f>
        <x:v>2</x:v>
      </x:c>
      <x:c r="G11" s="17" t="str">
        <x:f>IF(Settings!B7="","",Settings!B7)</x:f>
        <x:v>ฝนตก</x:v>
      </x:c>
      <x:c r="H11" s="22" t="n">
        <x:f>IF(G11="","",COUNTIFS(Late_Transactions!I:I,G11,Late_Transactions!K:K,"Recorded"))</x:f>
        <x:v>1</x:v>
      </x:c>
    </x:row>
    <x:row r="12">
      <x:c r="A12" s="21" t="n">
        <x:f>A11+1</x:f>
        <x:v>46166</x:v>
      </x:c>
      <x:c r="B12" s="22" t="n">
        <x:f>COUNTIFS(Late_Transactions!C:C,A12,Late_Transactions!K:K,"Recorded")</x:f>
        <x:v>1</x:v>
      </x:c>
      <x:c r="D12" s="17" t="str">
        <x:f>IF(Settings!A8="","",Settings!A8)</x:f>
        <x:v>ม.2/2</x:v>
      </x:c>
      <x:c r="E12" s="22" t="n">
        <x:f>IF(D12="","",COUNTIFS(Late_Transactions!H:H,D12,Late_Transactions!K:K,"Recorded"))</x:f>
        <x:v>1</x:v>
      </x:c>
      <x:c r="G12" s="17" t="str">
        <x:f>IF(Settings!B8="","",Settings!B8)</x:f>
        <x:v>ป่วย/ไม่สบาย</x:v>
      </x:c>
      <x:c r="H12" s="22" t="n">
        <x:f>IF(G12="","",COUNTIFS(Late_Transactions!I:I,G12,Late_Transactions!K:K,"Recorded"))</x:f>
        <x:v>0</x:v>
      </x:c>
    </x:row>
    <x:row r="13">
      <x:c r="A13" s="21" t="n">
        <x:f>A12+1</x:f>
        <x:v>46167</x:v>
      </x:c>
      <x:c r="B13" s="22" t="n">
        <x:f>COUNTIFS(Late_Transactions!C:C,A13,Late_Transactions!K:K,"Recorded")</x:f>
        <x:v>1</x:v>
      </x:c>
      <x:c r="D13" s="17" t="str">
        <x:f>IF(Settings!A9="","",Settings!A9)</x:f>
        <x:v>ม.3/1</x:v>
      </x:c>
      <x:c r="E13" s="22" t="n">
        <x:f>IF(D13="","",COUNTIFS(Late_Transactions!H:H,D13,Late_Transactions!K:K,"Recorded"))</x:f>
        <x:v>1</x:v>
      </x:c>
      <x:c r="G13" s="17" t="str">
        <x:f>IF(Settings!B9="","",Settings!B9)</x:f>
        <x:v>ภารกิจครอบครัว</x:v>
      </x:c>
      <x:c r="H13" s="22" t="n">
        <x:f>IF(G13="","",COUNTIFS(Late_Transactions!I:I,G13,Late_Transactions!K:K,"Recorded"))</x:f>
        <x:v>1</x:v>
      </x:c>
    </x:row>
    <x:row r="14">
      <x:c r="A14" s="21" t="n">
        <x:f>A13+1</x:f>
        <x:v>46168</x:v>
      </x:c>
      <x:c r="B14" s="22" t="n">
        <x:f>COUNTIFS(Late_Transactions!C:C,A14,Late_Transactions!K:K,"Recorded")</x:f>
        <x:v>0</x:v>
      </x:c>
      <x:c r="D14" s="17" t="str">
        <x:f>IF(Settings!A10="","",Settings!A10)</x:f>
        <x:v>ม.3/2</x:v>
      </x:c>
      <x:c r="E14" s="22" t="n">
        <x:f>IF(D14="","",COUNTIFS(Late_Transactions!H:H,D14,Late_Transactions!K:K,"Recorded"))</x:f>
        <x:v>1</x:v>
      </x:c>
      <x:c r="G14" s="17" t="str">
        <x:f>IF(Settings!B10="","",Settings!B10)</x:f>
        <x:v>อื่น ๆ</x:v>
      </x:c>
      <x:c r="H14" s="22" t="n">
        <x:f>IF(G14="","",COUNTIFS(Late_Transactions!I:I,G14,Late_Transactions!K:K,"Recorded"))</x:f>
        <x:v>1</x:v>
      </x:c>
    </x:row>
    <x:row r="15">
      <x:c r="A15" s="21" t="n">
        <x:f>A14+1</x:f>
        <x:v>46169</x:v>
      </x:c>
      <x:c r="B15" s="22" t="n">
        <x:f>COUNTIFS(Late_Transactions!C:C,A15,Late_Transactions!K:K,"Recorded")</x:f>
        <x:v>0</x:v>
      </x:c>
      <x:c r="D15" s="17" t="str">
        <x:f>IF(Settings!A11="","",Settings!A11)</x:f>
        <x:v>ม.4/1</x:v>
      </x:c>
      <x:c r="E15" s="22" t="n">
        <x:f>IF(D15="","",COUNTIFS(Late_Transactions!H:H,D15,Late_Transactions!K:K,"Recorded"))</x:f>
        <x:v>0</x:v>
      </x:c>
      <x:c r="G15" s="17" t="str">
        <x:f>IF(Settings!B11="","",Settings!B11)</x:f>
      </x:c>
      <x:c r="H15" s="22" t="str">
        <x:f>IF(G15="","",COUNTIFS(Late_Transactions!I:I,G15,Late_Transactions!K:K,"Recorded"))</x:f>
      </x:c>
    </x:row>
    <x:row r="16">
      <x:c r="A16" s="21" t="n">
        <x:f>A15+1</x:f>
        <x:v>46170</x:v>
      </x:c>
      <x:c r="B16" s="22" t="n">
        <x:f>COUNTIFS(Late_Transactions!C:C,A16,Late_Transactions!K:K,"Recorded")</x:f>
        <x:v>0</x:v>
      </x:c>
      <x:c r="D16" s="17" t="str">
        <x:f>IF(Settings!A12="","",Settings!A12)</x:f>
        <x:v>ม.4/2</x:v>
      </x:c>
      <x:c r="E16" s="22" t="n">
        <x:f>IF(D16="","",COUNTIFS(Late_Transactions!H:H,D16,Late_Transactions!K:K,"Recorded"))</x:f>
        <x:v>0</x:v>
      </x:c>
      <x:c r="G16" s="17" t="str">
        <x:f>IF(Settings!B12="","",Settings!B12)</x:f>
      </x:c>
      <x:c r="H16" s="22" t="str">
        <x:f>IF(G16="","",COUNTIFS(Late_Transactions!I:I,G16,Late_Transactions!K:K,"Recorded"))</x:f>
      </x:c>
    </x:row>
    <x:row r="17">
      <x:c r="A17" s="21" t="n">
        <x:f>A16+1</x:f>
        <x:v>46171</x:v>
      </x:c>
      <x:c r="B17" s="22" t="n">
        <x:f>COUNTIFS(Late_Transactions!C:C,A17,Late_Transactions!K:K,"Recorded")</x:f>
        <x:v>0</x:v>
      </x:c>
      <x:c r="D17" s="17" t="str">
        <x:f>IF(Settings!A13="","",Settings!A13)</x:f>
        <x:v>ม.5/1</x:v>
      </x:c>
      <x:c r="E17" s="22" t="n">
        <x:f>IF(D17="","",COUNTIFS(Late_Transactions!H:H,D17,Late_Transactions!K:K,"Recorded"))</x:f>
        <x:v>0</x:v>
      </x:c>
      <x:c r="G17" s="17" t="str">
        <x:f>IF(Settings!B13="","",Settings!B13)</x:f>
      </x:c>
      <x:c r="H17" s="22" t="str">
        <x:f>IF(G17="","",COUNTIFS(Late_Transactions!I:I,G17,Late_Transactions!K:K,"Recorded"))</x:f>
      </x:c>
    </x:row>
    <x:row r="18">
      <x:c r="A18" s="21" t="n">
        <x:f>A17+1</x:f>
        <x:v>46172</x:v>
      </x:c>
      <x:c r="B18" s="22" t="n">
        <x:f>COUNTIFS(Late_Transactions!C:C,A18,Late_Transactions!K:K,"Recorded")</x:f>
        <x:v>0</x:v>
      </x:c>
      <x:c r="D18" s="17" t="str">
        <x:f>IF(Settings!A14="","",Settings!A14)</x:f>
        <x:v>ม.5/2</x:v>
      </x:c>
      <x:c r="E18" s="22" t="n">
        <x:f>IF(D18="","",COUNTIFS(Late_Transactions!H:H,D18,Late_Transactions!K:K,"Recorded"))</x:f>
        <x:v>0</x:v>
      </x:c>
      <x:c r="G18" s="17" t="str">
        <x:f>IF(Settings!B14="","",Settings!B14)</x:f>
      </x:c>
      <x:c r="H18" s="22" t="str">
        <x:f>IF(G18="","",COUNTIFS(Late_Transactions!I:I,G18,Late_Transactions!K:K,"Recorded"))</x:f>
      </x:c>
    </x:row>
    <x:row r="19">
      <x:c r="A19" s="21" t="n">
        <x:f>A18+1</x:f>
        <x:v>46173</x:v>
      </x:c>
      <x:c r="B19" s="22" t="n">
        <x:f>COUNTIFS(Late_Transactions!C:C,A19,Late_Transactions!K:K,"Recorded")</x:f>
        <x:v>0</x:v>
      </x:c>
      <x:c r="D19" s="17" t="str">
        <x:f>IF(Settings!A15="","",Settings!A15)</x:f>
        <x:v>ม.6/1</x:v>
      </x:c>
      <x:c r="E19" s="22" t="n">
        <x:f>IF(D19="","",COUNTIFS(Late_Transactions!H:H,D19,Late_Transactions!K:K,"Recorded"))</x:f>
        <x:v>0</x:v>
      </x:c>
    </x:row>
    <x:row r="20">
      <x:c r="A20" s="21" t="n">
        <x:f>A19+1</x:f>
        <x:v>46174</x:v>
      </x:c>
      <x:c r="B20" s="22" t="n">
        <x:f>COUNTIFS(Late_Transactions!C:C,A20,Late_Transactions!K:K,"Recorded")</x:f>
        <x:v>0</x:v>
      </x:c>
      <x:c r="D20" s="17" t="str">
        <x:f>IF(Settings!A16="","",Settings!A16)</x:f>
        <x:v>ม.6/2</x:v>
      </x:c>
      <x:c r="E20" s="22" t="n">
        <x:f>IF(D20="","",COUNTIFS(Late_Transactions!H:H,D20,Late_Transactions!K:K,"Recorded"))</x:f>
        <x:v>0</x:v>
      </x:c>
    </x:row>
    <x:row r="21">
      <x:c r="A21" s="21" t="n">
        <x:f>A20+1</x:f>
        <x:v>46175</x:v>
      </x:c>
      <x:c r="B21" s="22" t="n">
        <x:f>COUNTIFS(Late_Transactions!C:C,A21,Late_Transactions!K:K,"Recorded")</x:f>
        <x:v>0</x:v>
      </x:c>
      <x:c r="D21" s="17" t="str">
        <x:f>IF(Settings!A17="","",Settings!A17)</x:f>
      </x:c>
      <x:c r="E21" s="22" t="str">
        <x:f>IF(D21="","",COUNTIFS(Late_Transactions!H:H,D21,Late_Transactions!K:K,"Recorded"))</x:f>
      </x:c>
    </x:row>
    <x:row r="22">
      <x:c r="A22" s="21" t="n">
        <x:f>A21+1</x:f>
        <x:v>46176</x:v>
      </x:c>
      <x:c r="B22" s="22" t="n">
        <x:f>COUNTIFS(Late_Transactions!C:C,A22,Late_Transactions!K:K,"Recorded")</x:f>
        <x:v>0</x:v>
      </x:c>
      <x:c r="D22" s="17" t="str">
        <x:f>IF(Settings!A18="","",Settings!A18)</x:f>
      </x:c>
      <x:c r="E22" s="22" t="str">
        <x:f>IF(D22="","",COUNTIFS(Late_Transactions!H:H,D22,Late_Transactions!K:K,"Recorded"))</x:f>
      </x:c>
    </x:row>
    <x:row r="23">
      <x:c r="D23" s="17" t="str">
        <x:f>IF(Settings!A19="","",Settings!A19)</x:f>
      </x:c>
      <x:c r="E23" s="22" t="str">
        <x:f>IF(D23="","",COUNTIFS(Late_Transactions!H:H,D23,Late_Transactions!K:K,"Recorded"))</x:f>
      </x:c>
    </x:row>
    <x:row r="24">
      <x:c r="D24" s="17" t="str">
        <x:f>IF(Settings!A20="","",Settings!A20)</x:f>
      </x:c>
      <x:c r="E24" s="22" t="str">
        <x:f>IF(D24="","",COUNTIFS(Late_Transactions!H:H,D24,Late_Transactions!K:K,"Recorded"))</x:f>
      </x:c>
    </x:row>
    <x:row r="25">
      <x:c r="A25" s="46" t="str">
        <x:v>จำนวนครั้งรายนักเรียน</x:v>
      </x:c>
      <x:c r="B25" s="46"/>
      <x:c r="C25" s="46"/>
      <x:c r="D25" s="47"/>
      <x:c r="E25" s="48"/>
      <x:c r="F25" s="46"/>
      <x:c r="G25" s="46"/>
    </x:row>
    <x:row r="26">
      <x:c r="A26" s="13" t="str">
        <x:v>student_id</x:v>
      </x:c>
      <x:c r="B26" s="13" t="str">
        <x:v>full_name</x:v>
      </x:c>
      <x:c r="C26" s="13" t="str">
        <x:v>grade</x:v>
      </x:c>
      <x:c r="D26" s="13" t="str">
        <x:v>room</x:v>
      </x:c>
      <x:c r="E26" s="43" t="str">
        <x:v>late_count</x:v>
      </x:c>
      <x:c r="F26" s="13" t="str">
        <x:v>last_late_date</x:v>
      </x:c>
      <x:c r="G26" s="13" t="str">
        <x:v>risk</x:v>
      </x:c>
    </x:row>
    <x:row r="27">
      <x:c r="A27" s="17" t="str">
        <x:f>IF(Student_Summary!A2="","",Student_Summary!A2)</x:f>
        <x:v>66001</x:v>
      </x:c>
      <x:c r="B27" s="17" t="str">
        <x:f>IF(Student_Summary!A2="","",Student_Summary!B2)</x:f>
        <x:v>ด.ช.กิตติ ใจดี</x:v>
      </x:c>
      <x:c r="C27" s="17" t="str">
        <x:f>IF(Student_Summary!A2="","",Student_Summary!C2)</x:f>
        <x:v>ม.1</x:v>
      </x:c>
      <x:c r="D27" s="17" t="str">
        <x:f>IF(Student_Summary!A2="","",Student_Summary!D2)</x:f>
        <x:v>ม.1/1</x:v>
      </x:c>
      <x:c r="E27" s="22" t="n">
        <x:f>IF(Student_Summary!A2="","",Student_Summary!E2)</x:f>
        <x:v>4</x:v>
      </x:c>
      <x:c r="F27" s="21" t="n">
        <x:f>IF(Student_Summary!A2="","",Student_Summary!F2)</x:f>
        <x:v>46167</x:v>
      </x:c>
      <x:c r="G27" s="17" t="str">
        <x:f>IF(Student_Summary!A2="","",Student_Summary!G2)</x:f>
        <x:v>Watch</x:v>
      </x:c>
    </x:row>
    <x:row r="28">
      <x:c r="A28" s="17" t="str">
        <x:f>IF(Student_Summary!A3="","",Student_Summary!A3)</x:f>
        <x:v>66002</x:v>
      </x:c>
      <x:c r="B28" s="17" t="str">
        <x:f>IF(Student_Summary!A3="","",Student_Summary!B3)</x:f>
        <x:v>ด.ญ.ปวีณา สุขใจ</x:v>
      </x:c>
      <x:c r="C28" s="17" t="str">
        <x:f>IF(Student_Summary!A3="","",Student_Summary!C3)</x:f>
        <x:v>ม.1</x:v>
      </x:c>
      <x:c r="D28" s="17" t="str">
        <x:f>IF(Student_Summary!A3="","",Student_Summary!D3)</x:f>
        <x:v>ม.1/1</x:v>
      </x:c>
      <x:c r="E28" s="22" t="n">
        <x:f>IF(Student_Summary!A3="","",Student_Summary!E3)</x:f>
        <x:v>1</x:v>
      </x:c>
      <x:c r="F28" s="21" t="n">
        <x:f>IF(Student_Summary!A3="","",Student_Summary!F3)</x:f>
        <x:v>46163</x:v>
      </x:c>
      <x:c r="G28" s="17" t="str">
        <x:f>IF(Student_Summary!A3="","",Student_Summary!G3)</x:f>
        <x:v>OK</x:v>
      </x:c>
    </x:row>
    <x:row r="29">
      <x:c r="A29" s="17" t="str">
        <x:f>IF(Student_Summary!A4="","",Student_Summary!A4)</x:f>
        <x:v>66003</x:v>
      </x:c>
      <x:c r="B29" s="17" t="str">
        <x:f>IF(Student_Summary!A4="","",Student_Summary!B4)</x:f>
        <x:v>ด.ช.ธนกร ตั้งใจ</x:v>
      </x:c>
      <x:c r="C29" s="17" t="str">
        <x:f>IF(Student_Summary!A4="","",Student_Summary!C4)</x:f>
        <x:v>ม.1</x:v>
      </x:c>
      <x:c r="D29" s="17" t="str">
        <x:f>IF(Student_Summary!A4="","",Student_Summary!D4)</x:f>
        <x:v>ม.1/2</x:v>
      </x:c>
      <x:c r="E29" s="22" t="n">
        <x:f>IF(Student_Summary!A4="","",Student_Summary!E4)</x:f>
        <x:v>0</x:v>
      </x:c>
      <x:c r="F29" s="21" t="n">
        <x:f>IF(Student_Summary!A4="","",Student_Summary!F4)</x:f>
        <x:v>0</x:v>
      </x:c>
      <x:c r="G29" s="17" t="str">
        <x:f>IF(Student_Summary!A4="","",Student_Summary!G4)</x:f>
      </x:c>
    </x:row>
    <x:row r="30">
      <x:c r="A30" s="17" t="str">
        <x:f>IF(Student_Summary!A5="","",Student_Summary!A5)</x:f>
        <x:v>66004</x:v>
      </x:c>
      <x:c r="B30" s="17" t="str">
        <x:f>IF(Student_Summary!A5="","",Student_Summary!B5)</x:f>
        <x:v>ด.ญ.วรัญญา แสงดี</x:v>
      </x:c>
      <x:c r="C30" s="17" t="str">
        <x:f>IF(Student_Summary!A5="","",Student_Summary!C5)</x:f>
        <x:v>ม.1</x:v>
      </x:c>
      <x:c r="D30" s="17" t="str">
        <x:f>IF(Student_Summary!A5="","",Student_Summary!D5)</x:f>
        <x:v>ม.1/2</x:v>
      </x:c>
      <x:c r="E30" s="22" t="n">
        <x:f>IF(Student_Summary!A5="","",Student_Summary!E5)</x:f>
        <x:v>0</x:v>
      </x:c>
      <x:c r="F30" s="21" t="n">
        <x:f>IF(Student_Summary!A5="","",Student_Summary!F5)</x:f>
        <x:v>0</x:v>
      </x:c>
      <x:c r="G30" s="17" t="str">
        <x:f>IF(Student_Summary!A5="","",Student_Summary!G5)</x:f>
      </x:c>
    </x:row>
    <x:row r="31">
      <x:c r="A31" s="17" t="str">
        <x:f>IF(Student_Summary!A6="","",Student_Summary!A6)</x:f>
        <x:v>65001</x:v>
      </x:c>
      <x:c r="B31" s="17" t="str">
        <x:f>IF(Student_Summary!A6="","",Student_Summary!B6)</x:f>
        <x:v>ด.ช.ภาคิน มั่นคง</x:v>
      </x:c>
      <x:c r="C31" s="17" t="str">
        <x:f>IF(Student_Summary!A6="","",Student_Summary!C6)</x:f>
        <x:v>ม.2</x:v>
      </x:c>
      <x:c r="D31" s="17" t="str">
        <x:f>IF(Student_Summary!A6="","",Student_Summary!D6)</x:f>
        <x:v>ม.2/1</x:v>
      </x:c>
      <x:c r="E31" s="22" t="n">
        <x:f>IF(Student_Summary!A6="","",Student_Summary!E6)</x:f>
        <x:v>1</x:v>
      </x:c>
      <x:c r="F31" s="21" t="n">
        <x:f>IF(Student_Summary!A6="","",Student_Summary!F6)</x:f>
        <x:v>46162</x:v>
      </x:c>
      <x:c r="G31" s="17" t="str">
        <x:f>IF(Student_Summary!A6="","",Student_Summary!G6)</x:f>
        <x:v>OK</x:v>
      </x:c>
    </x:row>
    <x:row r="32">
      <x:c r="A32" s="17" t="str">
        <x:f>IF(Student_Summary!A7="","",Student_Summary!A7)</x:f>
        <x:v>65002</x:v>
      </x:c>
      <x:c r="B32" s="17" t="str">
        <x:f>IF(Student_Summary!A7="","",Student_Summary!B7)</x:f>
        <x:v>ด.ญ.นันท์นภัส เรียนดี</x:v>
      </x:c>
      <x:c r="C32" s="17" t="str">
        <x:f>IF(Student_Summary!A7="","",Student_Summary!C7)</x:f>
        <x:v>ม.2</x:v>
      </x:c>
      <x:c r="D32" s="17" t="str">
        <x:f>IF(Student_Summary!A7="","",Student_Summary!D7)</x:f>
        <x:v>ม.2/1</x:v>
      </x:c>
      <x:c r="E32" s="22" t="n">
        <x:f>IF(Student_Summary!A7="","",Student_Summary!E7)</x:f>
        <x:v>1</x:v>
      </x:c>
      <x:c r="F32" s="21" t="n">
        <x:f>IF(Student_Summary!A7="","",Student_Summary!F7)</x:f>
        <x:v>46165</x:v>
      </x:c>
      <x:c r="G32" s="17" t="str">
        <x:f>IF(Student_Summary!A7="","",Student_Summary!G7)</x:f>
        <x:v>OK</x:v>
      </x:c>
    </x:row>
    <x:row r="33">
      <x:c r="A33" s="17" t="str">
        <x:f>IF(Student_Summary!A8="","",Student_Summary!A8)</x:f>
        <x:v>65003</x:v>
      </x:c>
      <x:c r="B33" s="17" t="str">
        <x:f>IF(Student_Summary!A8="","",Student_Summary!B8)</x:f>
        <x:v>ด.ช.ชยพล เพียรดี</x:v>
      </x:c>
      <x:c r="C33" s="17" t="str">
        <x:f>IF(Student_Summary!A8="","",Student_Summary!C8)</x:f>
        <x:v>ม.2</x:v>
      </x:c>
      <x:c r="D33" s="17" t="str">
        <x:f>IF(Student_Summary!A8="","",Student_Summary!D8)</x:f>
        <x:v>ม.2/2</x:v>
      </x:c>
      <x:c r="E33" s="22" t="n">
        <x:f>IF(Student_Summary!A8="","",Student_Summary!E8)</x:f>
        <x:v>1</x:v>
      </x:c>
      <x:c r="F33" s="21" t="n">
        <x:f>IF(Student_Summary!A8="","",Student_Summary!F8)</x:f>
        <x:v>46163</x:v>
      </x:c>
      <x:c r="G33" s="17" t="str">
        <x:f>IF(Student_Summary!A8="","",Student_Summary!G8)</x:f>
        <x:v>OK</x:v>
      </x:c>
    </x:row>
    <x:row r="34">
      <x:c r="A34" s="17" t="str">
        <x:f>IF(Student_Summary!A9="","",Student_Summary!A9)</x:f>
        <x:v>65004</x:v>
      </x:c>
      <x:c r="B34" s="17" t="str">
        <x:f>IF(Student_Summary!A9="","",Student_Summary!B9)</x:f>
        <x:v>ด.ญ.สุชาดา สว่าง</x:v>
      </x:c>
      <x:c r="C34" s="17" t="str">
        <x:f>IF(Student_Summary!A9="","",Student_Summary!C9)</x:f>
        <x:v>ม.2</x:v>
      </x:c>
      <x:c r="D34" s="17" t="str">
        <x:f>IF(Student_Summary!A9="","",Student_Summary!D9)</x:f>
        <x:v>ม.2/2</x:v>
      </x:c>
      <x:c r="E34" s="22" t="n">
        <x:f>IF(Student_Summary!A9="","",Student_Summary!E9)</x:f>
        <x:v>0</x:v>
      </x:c>
      <x:c r="F34" s="21" t="n">
        <x:f>IF(Student_Summary!A9="","",Student_Summary!F9)</x:f>
        <x:v>0</x:v>
      </x:c>
      <x:c r="G34" s="17" t="str">
        <x:f>IF(Student_Summary!A9="","",Student_Summary!G9)</x:f>
      </x:c>
    </x:row>
    <x:row r="35">
      <x:c r="A35" s="17" t="str">
        <x:f>IF(Student_Summary!A10="","",Student_Summary!A10)</x:f>
        <x:v>64001</x:v>
      </x:c>
      <x:c r="B35" s="17" t="str">
        <x:f>IF(Student_Summary!A10="","",Student_Summary!B10)</x:f>
        <x:v>นายปรเมศวร์ ตั้งตรง</x:v>
      </x:c>
      <x:c r="C35" s="17" t="str">
        <x:f>IF(Student_Summary!A10="","",Student_Summary!C10)</x:f>
        <x:v>ม.3</x:v>
      </x:c>
      <x:c r="D35" s="17" t="str">
        <x:f>IF(Student_Summary!A10="","",Student_Summary!D10)</x:f>
        <x:v>ม.3/1</x:v>
      </x:c>
      <x:c r="E35" s="22" t="n">
        <x:f>IF(Student_Summary!A10="","",Student_Summary!E10)</x:f>
        <x:v>1</x:v>
      </x:c>
      <x:c r="F35" s="21" t="n">
        <x:f>IF(Student_Summary!A10="","",Student_Summary!F10)</x:f>
        <x:v>46164</x:v>
      </x:c>
      <x:c r="G35" s="17" t="str">
        <x:f>IF(Student_Summary!A10="","",Student_Summary!G10)</x:f>
        <x:v>OK</x:v>
      </x:c>
    </x:row>
    <x:row r="36">
      <x:c r="A36" s="17" t="str">
        <x:f>IF(Student_Summary!A11="","",Student_Summary!A11)</x:f>
        <x:v>64002</x:v>
      </x:c>
      <x:c r="B36" s="17" t="str">
        <x:f>IF(Student_Summary!A11="","",Student_Summary!B11)</x:f>
        <x:v>น.ส.รินรดา อ่อนโยน</x:v>
      </x:c>
      <x:c r="C36" s="17" t="str">
        <x:f>IF(Student_Summary!A11="","",Student_Summary!C11)</x:f>
        <x:v>ม.3</x:v>
      </x:c>
      <x:c r="D36" s="17" t="str">
        <x:f>IF(Student_Summary!A11="","",Student_Summary!D11)</x:f>
        <x:v>ม.3/1</x:v>
      </x:c>
      <x:c r="E36" s="22" t="n">
        <x:f>IF(Student_Summary!A11="","",Student_Summary!E11)</x:f>
        <x:v>0</x:v>
      </x:c>
      <x:c r="F36" s="21" t="n">
        <x:f>IF(Student_Summary!A11="","",Student_Summary!F11)</x:f>
        <x:v>0</x:v>
      </x:c>
      <x:c r="G36" s="17" t="str">
        <x:f>IF(Student_Summary!A11="","",Student_Summary!G11)</x:f>
      </x:c>
    </x:row>
    <x:row r="37">
      <x:c r="A37" s="17" t="str">
        <x:f>IF(Student_Summary!A12="","",Student_Summary!A12)</x:f>
        <x:v>64003</x:v>
      </x:c>
      <x:c r="B37" s="17" t="str">
        <x:f>IF(Student_Summary!A12="","",Student_Summary!B12)</x:f>
        <x:v>นายณัฐวุฒิ สดใส</x:v>
      </x:c>
      <x:c r="C37" s="17" t="str">
        <x:f>IF(Student_Summary!A12="","",Student_Summary!C12)</x:f>
        <x:v>ม.3</x:v>
      </x:c>
      <x:c r="D37" s="17" t="str">
        <x:f>IF(Student_Summary!A12="","",Student_Summary!D12)</x:f>
        <x:v>ม.3/2</x:v>
      </x:c>
      <x:c r="E37" s="22" t="n">
        <x:f>IF(Student_Summary!A12="","",Student_Summary!E12)</x:f>
        <x:v>1</x:v>
      </x:c>
      <x:c r="F37" s="21" t="n">
        <x:f>IF(Student_Summary!A12="","",Student_Summary!F12)</x:f>
        <x:v>46165</x:v>
      </x:c>
      <x:c r="G37" s="17" t="str">
        <x:f>IF(Student_Summary!A12="","",Student_Summary!G12)</x:f>
        <x:v>OK</x:v>
      </x:c>
    </x:row>
    <x:row r="38">
      <x:c r="A38" s="17" t="str">
        <x:f>IF(Student_Summary!A13="","",Student_Summary!A13)</x:f>
        <x:v>64004</x:v>
      </x:c>
      <x:c r="B38" s="17" t="str">
        <x:f>IF(Student_Summary!A13="","",Student_Summary!B13)</x:f>
        <x:v>น.ส.พิชชาภา ใฝ่รู้</x:v>
      </x:c>
      <x:c r="C38" s="17" t="str">
        <x:f>IF(Student_Summary!A13="","",Student_Summary!C13)</x:f>
        <x:v>ม.3</x:v>
      </x:c>
      <x:c r="D38" s="17" t="str">
        <x:f>IF(Student_Summary!A13="","",Student_Summary!D13)</x:f>
        <x:v>ม.3/2</x:v>
      </x:c>
      <x:c r="E38" s="22" t="n">
        <x:f>IF(Student_Summary!A13="","",Student_Summary!E13)</x:f>
        <x:v>0</x:v>
      </x:c>
      <x:c r="F38" s="21" t="n">
        <x:f>IF(Student_Summary!A13="","",Student_Summary!F13)</x:f>
        <x:v>0</x:v>
      </x:c>
      <x:c r="G38" s="17" t="str">
        <x:f>IF(Student_Summary!A13="","",Student_Summary!G13)</x:f>
      </x:c>
    </x:row>
  </x:sheetData>
  <x:pageMargins left="0.7" right="0.7" top="0.75" bottom="0.75" header="0.3" footer="0.3"/>
  <x:drawing xmlns:r="http://schemas.openxmlformats.org/officeDocument/2006/relationships" r:id="R5dababbc67f34147"/>
</x:worksheet>
</file>

<file path=xl/worksheets/sheet8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8.889999389648438" hidden="0" customWidth="1"/>
    <x:col min="3" max="3" width="20" hidden="0" customWidth="1"/>
    <x:col min="4" max="4" width="28.889999389648438" hidden="0" customWidth="1"/>
  </x:cols>
  <x:sheetData>
    <x:row r="1" ht="34" customHeight="1">
      <x:c r="A1" s="4" t="str">
        <x:v>Looker Studio Setup</x:v>
      </x:c>
      <x:c r="B1" s="4" t="str">
        <x:v>Looker Studio Setup</x:v>
      </x:c>
      <x:c r="C1" s="4" t="str">
        <x:v>Looker Studio Setup</x:v>
      </x:c>
      <x:c r="D1" s="4" t="str">
        <x:v>Looker Studio Setup</x:v>
      </x:c>
      <x:c r="E1" s="4" t="str">
        <x:v>Looker Studio Setup</x:v>
      </x:c>
      <x:c r="F1" s="4" t="str">
        <x:v>Looker Studio Setup</x:v>
      </x:c>
      <x:c r="G1" s="4" t="str">
        <x:v>Looker Studio Setup</x:v>
      </x:c>
      <x:c r="H1" s="4" t="str">
        <x:v>Looker Studio Setup</x:v>
      </x:c>
    </x:row>
    <x:row r="2">
      <x:c r="A2" s="7" t="str">
        <x:v>ต่อ Looker Studio กับ Late_Transactions แล้วใช้ status = Recorded เป็น filter หลัก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Chart</x:v>
      </x:c>
      <x:c r="B4" s="13" t="str">
        <x:v>Dimension</x:v>
      </x:c>
      <x:c r="C4" s="13" t="str">
        <x:v>Metric</x:v>
      </x:c>
      <x:c r="D4" s="13" t="str">
        <x:v>Filter</x:v>
      </x:c>
    </x:row>
    <x:row r="5">
      <x:c r="A5" s="17" t="str">
        <x:v>Scorecard: มาสายทั้งหมด</x:v>
      </x:c>
      <x:c r="B5" s="17" t="str">
        <x:v>-</x:v>
      </x:c>
      <x:c r="C5" s="17" t="str">
        <x:v>COUNT(transaction_id)</x:v>
      </x:c>
      <x:c r="D5" s="17" t="str">
        <x:v>status = Recorded</x:v>
      </x:c>
    </x:row>
    <x:row r="6">
      <x:c r="A6" s="17" t="str">
        <x:v>Scorecard: วันนี้</x:v>
      </x:c>
      <x:c r="B6" s="17" t="str">
        <x:v>late_date</x:v>
      </x:c>
      <x:c r="C6" s="17" t="str">
        <x:v>COUNT(transaction_id)</x:v>
      </x:c>
      <x:c r="D6" s="17" t="str">
        <x:v>late_date = Today AND status = Recorded</x:v>
      </x:c>
    </x:row>
    <x:row r="7">
      <x:c r="A7" s="17" t="str">
        <x:v>Time series</x:v>
      </x:c>
      <x:c r="B7" s="17" t="str">
        <x:v>late_date</x:v>
      </x:c>
      <x:c r="C7" s="17" t="str">
        <x:v>COUNT(transaction_id)</x:v>
      </x:c>
      <x:c r="D7" s="17" t="str">
        <x:v>status = Recorded</x:v>
      </x:c>
    </x:row>
    <x:row r="8">
      <x:c r="A8" s="17" t="str">
        <x:v>Bar chart: ห้อง</x:v>
      </x:c>
      <x:c r="B8" s="17" t="str">
        <x:v>room</x:v>
      </x:c>
      <x:c r="C8" s="17" t="str">
        <x:v>COUNT(transaction_id)</x:v>
      </x:c>
      <x:c r="D8" s="17" t="str">
        <x:v>status = Recorded</x:v>
      </x:c>
    </x:row>
    <x:row r="9">
      <x:c r="A9" s="17" t="str">
        <x:v>Bar chart: Top นักเรียน</x:v>
      </x:c>
      <x:c r="B9" s="17" t="str">
        <x:v>full_name</x:v>
      </x:c>
      <x:c r="C9" s="17" t="str">
        <x:v>COUNT(transaction_id)</x:v>
      </x:c>
      <x:c r="D9" s="17" t="str">
        <x:v>status = Recorded</x:v>
      </x:c>
    </x:row>
    <x:row r="10">
      <x:c r="A10" s="17" t="str">
        <x:v>Pie/Bar: เหตุผล</x:v>
      </x:c>
      <x:c r="B10" s="17" t="str">
        <x:v>reason</x:v>
      </x:c>
      <x:c r="C10" s="17" t="str">
        <x:v>COUNT(transaction_id)</x:v>
      </x:c>
      <x:c r="D10" s="17" t="str">
        <x:v>status = Recorded</x:v>
      </x:c>
    </x:row>
    <x:row r="11">
      <x:c r="A11" s="17" t="str">
        <x:v>Table: รายการล่าสุด</x:v>
      </x:c>
      <x:c r="B11" s="17" t="str">
        <x:v>submitted_at, student_id, full_name, room, reason</x:v>
      </x:c>
      <x:c r="C11" s="17" t="str">
        <x:v>Record count</x:v>
      </x:c>
      <x:c r="D11" s="17" t="str">
        <x:v>status = Recorded</x:v>
      </x:c>
    </x:row>
    <x:row r="12">
      <x:c r="A12" s="17" t="str">
        <x:v>Control</x:v>
      </x:c>
      <x:c r="B12" s="17" t="str">
        <x:v>late_date / room / grade</x:v>
      </x:c>
      <x:c r="C12" s="17" t="str">
        <x:v>-</x:v>
      </x:c>
      <x:c r="D12" s="17" t="str">
        <x:v>ใช้เป็น date range และ filter</x:v>
      </x:c>
    </x:row>
  </x:sheetData>
  <x:pageMargins left="0.7" right="0.7" top="0.75" bottom="0.75" header="0.3" footer="0.3"/>
</x:worksheet>
</file>